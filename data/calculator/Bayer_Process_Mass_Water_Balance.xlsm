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nu\OneDrive\Documents\ANTAM PROJECT\antham-hackathon-nyukses-main\data\calculator\"/>
    </mc:Choice>
  </mc:AlternateContent>
  <xr:revisionPtr revIDLastSave="0" documentId="8_{9672CC08-39BA-4182-A4C7-3FBF35CDFB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_Monitoring" sheetId="1" r:id="rId1"/>
    <sheet name="PROCESS KINETICS " sheetId="8" r:id="rId2"/>
    <sheet name="Molar_Base_Data" sheetId="2" r:id="rId3"/>
    <sheet name="Pre-Desilication_Balance" sheetId="6" r:id="rId4"/>
    <sheet name="Digestion_Balance" sheetId="3" r:id="rId5"/>
    <sheet name="Clarification_RedMud" sheetId="4" r:id="rId6"/>
    <sheet name="Precipitation_Hydrate" sheetId="5" r:id="rId7"/>
    <sheet name="SPENT LIQUOR CONDITIONING" sheetId="7" r:id="rId8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4" i="3" l="1"/>
  <c r="D27" i="6"/>
  <c r="D26" i="6"/>
  <c r="D24" i="6"/>
  <c r="I14" i="1"/>
  <c r="H14" i="1"/>
  <c r="D43" i="7"/>
  <c r="H23" i="6"/>
  <c r="H24" i="6"/>
  <c r="I24" i="6"/>
  <c r="J24" i="6"/>
  <c r="H25" i="6"/>
  <c r="H26" i="6"/>
  <c r="I26" i="6"/>
  <c r="J26" i="6"/>
  <c r="H27" i="6"/>
  <c r="I27" i="6"/>
  <c r="J27" i="6"/>
  <c r="B22" i="8"/>
  <c r="B9" i="8"/>
  <c r="E7" i="8" s="1"/>
  <c r="B8" i="8"/>
  <c r="B7" i="8"/>
  <c r="D34" i="3"/>
  <c r="D57" i="3"/>
  <c r="I110" i="1"/>
  <c r="D108" i="1"/>
  <c r="D107" i="1"/>
  <c r="D106" i="1"/>
  <c r="B31" i="5"/>
  <c r="D27" i="5"/>
  <c r="D31" i="6"/>
  <c r="D24" i="4"/>
  <c r="D18" i="4"/>
  <c r="D57" i="6"/>
  <c r="D21" i="5"/>
  <c r="D48" i="6"/>
  <c r="D79" i="1"/>
  <c r="D36" i="6"/>
  <c r="D46" i="7"/>
  <c r="D39" i="7"/>
  <c r="D51" i="4"/>
  <c r="G17" i="6"/>
  <c r="B56" i="7"/>
  <c r="D21" i="7"/>
  <c r="B41" i="7"/>
  <c r="D60" i="6"/>
  <c r="D9" i="3"/>
  <c r="D46" i="6"/>
  <c r="B51" i="7"/>
  <c r="F33" i="7"/>
  <c r="D44" i="7"/>
  <c r="D8" i="7"/>
  <c r="D42" i="7"/>
  <c r="D20" i="2"/>
  <c r="D21" i="2"/>
  <c r="D33" i="3"/>
  <c r="D50" i="6"/>
  <c r="B50" i="6"/>
  <c r="C19" i="6"/>
  <c r="C21" i="1"/>
  <c r="C15" i="6"/>
  <c r="D15" i="4"/>
  <c r="D14" i="4"/>
  <c r="D13" i="4"/>
  <c r="D12" i="4"/>
  <c r="D11" i="4"/>
  <c r="D10" i="4"/>
  <c r="D9" i="4"/>
  <c r="C15" i="3"/>
  <c r="C20" i="1"/>
  <c r="C8" i="1"/>
  <c r="C18" i="3" s="1"/>
  <c r="E8" i="8" l="1"/>
  <c r="G7" i="8" s="1"/>
  <c r="C28" i="1" s="1"/>
  <c r="D37" i="6"/>
  <c r="D53" i="7"/>
  <c r="D47" i="6"/>
  <c r="D6" i="4"/>
  <c r="D22" i="7"/>
  <c r="D36" i="7"/>
  <c r="D45" i="7" s="1"/>
  <c r="D31" i="5" s="1"/>
  <c r="D11" i="3"/>
  <c r="E59" i="6"/>
  <c r="D21" i="1"/>
  <c r="C18" i="6"/>
  <c r="D20" i="1"/>
  <c r="E15" i="6"/>
  <c r="C13" i="6"/>
  <c r="C12" i="6"/>
  <c r="C10" i="6"/>
  <c r="C5" i="6"/>
  <c r="C14" i="6"/>
  <c r="C11" i="6"/>
  <c r="C9" i="6"/>
  <c r="E9" i="6" s="1"/>
  <c r="D101" i="1" s="1"/>
  <c r="D110" i="1" s="1"/>
  <c r="C8" i="6"/>
  <c r="C7" i="6"/>
  <c r="C6" i="6"/>
  <c r="C48" i="3"/>
  <c r="D54" i="1"/>
  <c r="D59" i="3"/>
  <c r="E15" i="3"/>
  <c r="C13" i="3"/>
  <c r="C14" i="3"/>
  <c r="E14" i="3" s="1"/>
  <c r="C12" i="3"/>
  <c r="C10" i="3"/>
  <c r="C8" i="3"/>
  <c r="C7" i="3"/>
  <c r="C9" i="4" s="1"/>
  <c r="E7" i="6" l="1"/>
  <c r="E11" i="6"/>
  <c r="E14" i="6"/>
  <c r="C20" i="6"/>
  <c r="F26" i="7" s="1"/>
  <c r="E12" i="6"/>
  <c r="E10" i="6"/>
  <c r="E5" i="6"/>
  <c r="H25" i="1" s="1"/>
  <c r="E8" i="6"/>
  <c r="E6" i="6"/>
  <c r="E13" i="6"/>
  <c r="C16" i="6"/>
  <c r="I57" i="1"/>
  <c r="C46" i="4"/>
  <c r="C42" i="3"/>
  <c r="E13" i="3"/>
  <c r="C13" i="4"/>
  <c r="E13" i="4" s="1"/>
  <c r="C41" i="3"/>
  <c r="C12" i="4"/>
  <c r="E12" i="4" s="1"/>
  <c r="E12" i="3"/>
  <c r="C45" i="4"/>
  <c r="C39" i="3"/>
  <c r="D77" i="1" s="1"/>
  <c r="C11" i="4"/>
  <c r="E11" i="4" s="1"/>
  <c r="C44" i="4"/>
  <c r="E10" i="3"/>
  <c r="E8" i="3"/>
  <c r="C37" i="3"/>
  <c r="C10" i="4"/>
  <c r="C43" i="4"/>
  <c r="E7" i="3"/>
  <c r="C36" i="3"/>
  <c r="C42" i="4"/>
  <c r="E33" i="6" l="1"/>
  <c r="D116" i="1"/>
  <c r="E44" i="6"/>
  <c r="D87" i="1" s="1"/>
  <c r="G47" i="6"/>
  <c r="D73" i="1"/>
  <c r="D82" i="1" s="1"/>
  <c r="E16" i="6"/>
  <c r="E10" i="4"/>
  <c r="E42" i="3"/>
  <c r="I42" i="3" s="1"/>
  <c r="H42" i="3"/>
  <c r="E41" i="3"/>
  <c r="I41" i="3" s="1"/>
  <c r="H41" i="3"/>
  <c r="E39" i="3"/>
  <c r="I39" i="3" s="1"/>
  <c r="H39" i="3"/>
  <c r="E37" i="3"/>
  <c r="I37" i="3" s="1"/>
  <c r="H37" i="3"/>
  <c r="E36" i="3"/>
  <c r="I36" i="3" s="1"/>
  <c r="H36" i="3"/>
  <c r="E9" i="4"/>
  <c r="C44" i="6" l="1"/>
  <c r="C60" i="6" l="1"/>
  <c r="C52" i="7"/>
  <c r="E60" i="6" l="1"/>
  <c r="C11" i="3"/>
  <c r="E11" i="3" l="1"/>
  <c r="C40" i="3"/>
  <c r="E40" i="3" l="1"/>
  <c r="I40" i="3" s="1"/>
  <c r="H40" i="3"/>
  <c r="P94" i="1" l="1"/>
  <c r="D120" i="1" l="1"/>
  <c r="H11" i="1" l="1"/>
  <c r="I7" i="1" l="1"/>
  <c r="I8" i="1"/>
  <c r="I9" i="1"/>
  <c r="I10" i="1"/>
  <c r="C4" i="4" l="1"/>
  <c r="D4" i="4"/>
  <c r="C5" i="4"/>
  <c r="D5" i="4"/>
  <c r="C6" i="4"/>
  <c r="C7" i="4"/>
  <c r="D7" i="4"/>
  <c r="G10" i="4"/>
  <c r="H10" i="4"/>
  <c r="H11" i="4"/>
  <c r="C14" i="4"/>
  <c r="E14" i="4"/>
  <c r="G14" i="4"/>
  <c r="H14" i="4"/>
  <c r="C15" i="4"/>
  <c r="E15" i="4"/>
  <c r="C18" i="4"/>
  <c r="E18" i="4"/>
  <c r="C19" i="4"/>
  <c r="C20" i="4"/>
  <c r="C21" i="4"/>
  <c r="C24" i="4"/>
  <c r="E24" i="4"/>
  <c r="C25" i="4"/>
  <c r="C26" i="4"/>
  <c r="C27" i="4"/>
  <c r="C28" i="4"/>
  <c r="C29" i="4"/>
  <c r="F29" i="4"/>
  <c r="G29" i="4"/>
  <c r="C30" i="4"/>
  <c r="C31" i="4"/>
  <c r="F31" i="4"/>
  <c r="C33" i="4"/>
  <c r="F33" i="4"/>
  <c r="C34" i="4"/>
  <c r="G34" i="4"/>
  <c r="C35" i="4"/>
  <c r="G35" i="4"/>
  <c r="C36" i="4"/>
  <c r="C38" i="4"/>
  <c r="D42" i="4"/>
  <c r="D43" i="4"/>
  <c r="D44" i="4"/>
  <c r="D45" i="4"/>
  <c r="D46" i="4"/>
  <c r="C47" i="4"/>
  <c r="D47" i="4"/>
  <c r="C48" i="4"/>
  <c r="D48" i="4"/>
  <c r="C49" i="4"/>
  <c r="D49" i="4"/>
  <c r="G49" i="4"/>
  <c r="C50" i="4"/>
  <c r="D50" i="4"/>
  <c r="G50" i="4"/>
  <c r="C51" i="4"/>
  <c r="G51" i="4"/>
  <c r="C52" i="4"/>
  <c r="D52" i="4"/>
  <c r="C53" i="4"/>
  <c r="D53" i="4"/>
  <c r="H15" i="1"/>
  <c r="I15" i="1"/>
  <c r="H16" i="1"/>
  <c r="I16" i="1"/>
  <c r="H17" i="1"/>
  <c r="I17" i="1"/>
  <c r="H19" i="1"/>
  <c r="I19" i="1"/>
  <c r="H26" i="1"/>
  <c r="H27" i="1"/>
  <c r="I27" i="1"/>
  <c r="H28" i="1"/>
  <c r="H29" i="1"/>
  <c r="H30" i="1"/>
  <c r="H31" i="1"/>
  <c r="H32" i="1"/>
  <c r="I32" i="1"/>
  <c r="H33" i="1"/>
  <c r="I33" i="1"/>
  <c r="H34" i="1"/>
  <c r="I34" i="1"/>
  <c r="H35" i="1"/>
  <c r="C36" i="1"/>
  <c r="H36" i="1"/>
  <c r="I36" i="1"/>
  <c r="H37" i="1"/>
  <c r="H38" i="1"/>
  <c r="I38" i="1"/>
  <c r="H39" i="1"/>
  <c r="I39" i="1"/>
  <c r="H40" i="1"/>
  <c r="H41" i="1"/>
  <c r="H42" i="1"/>
  <c r="H43" i="1"/>
  <c r="H44" i="1"/>
  <c r="H45" i="1"/>
  <c r="H46" i="1"/>
  <c r="H47" i="1"/>
  <c r="I53" i="1"/>
  <c r="D55" i="1"/>
  <c r="I56" i="1"/>
  <c r="D57" i="1"/>
  <c r="D58" i="1"/>
  <c r="I58" i="1"/>
  <c r="I60" i="1"/>
  <c r="D61" i="1"/>
  <c r="J62" i="1"/>
  <c r="D63" i="1"/>
  <c r="I63" i="1"/>
  <c r="D64" i="1"/>
  <c r="I64" i="1"/>
  <c r="D65" i="1"/>
  <c r="I65" i="1"/>
  <c r="I66" i="1"/>
  <c r="I67" i="1"/>
  <c r="I69" i="1"/>
  <c r="D74" i="1"/>
  <c r="I75" i="1"/>
  <c r="D76" i="1"/>
  <c r="I77" i="1"/>
  <c r="D78" i="1"/>
  <c r="I79" i="1"/>
  <c r="D80" i="1"/>
  <c r="I80" i="1"/>
  <c r="I82" i="1"/>
  <c r="I83" i="1"/>
  <c r="I84" i="1"/>
  <c r="D88" i="1"/>
  <c r="D89" i="1"/>
  <c r="I89" i="1"/>
  <c r="D90" i="1"/>
  <c r="I90" i="1"/>
  <c r="D91" i="1"/>
  <c r="I92" i="1"/>
  <c r="I93" i="1"/>
  <c r="L93" i="1"/>
  <c r="M93" i="1"/>
  <c r="U93" i="1"/>
  <c r="W93" i="1"/>
  <c r="Z93" i="1"/>
  <c r="AB93" i="1"/>
  <c r="I94" i="1"/>
  <c r="L94" i="1"/>
  <c r="R94" i="1"/>
  <c r="W94" i="1"/>
  <c r="Z94" i="1"/>
  <c r="AB94" i="1"/>
  <c r="I96" i="1"/>
  <c r="R96" i="1"/>
  <c r="W96" i="1"/>
  <c r="R97" i="1"/>
  <c r="W97" i="1"/>
  <c r="Z97" i="1"/>
  <c r="AB97" i="1"/>
  <c r="R98" i="1"/>
  <c r="D102" i="1"/>
  <c r="D103" i="1"/>
  <c r="I103" i="1"/>
  <c r="D105" i="1"/>
  <c r="I105" i="1"/>
  <c r="I107" i="1"/>
  <c r="I108" i="1"/>
  <c r="D112" i="1"/>
  <c r="I112" i="1"/>
  <c r="I114" i="1"/>
  <c r="I118" i="1"/>
  <c r="I120" i="1"/>
  <c r="I122" i="1"/>
  <c r="J122" i="1"/>
  <c r="C5" i="3"/>
  <c r="E5" i="3"/>
  <c r="C6" i="3"/>
  <c r="E6" i="3"/>
  <c r="G7" i="3"/>
  <c r="H7" i="3"/>
  <c r="G8" i="3"/>
  <c r="H8" i="3"/>
  <c r="C9" i="3"/>
  <c r="E9" i="3"/>
  <c r="G9" i="3"/>
  <c r="H9" i="3"/>
  <c r="H10" i="3"/>
  <c r="C16" i="3"/>
  <c r="E16" i="3"/>
  <c r="C20" i="3"/>
  <c r="C21" i="3"/>
  <c r="C22" i="3"/>
  <c r="C25" i="3"/>
  <c r="E25" i="3"/>
  <c r="C26" i="3"/>
  <c r="E26" i="3"/>
  <c r="C27" i="3"/>
  <c r="E27" i="3"/>
  <c r="F27" i="3"/>
  <c r="G27" i="3"/>
  <c r="C28" i="3"/>
  <c r="E28" i="3"/>
  <c r="F28" i="3"/>
  <c r="C30" i="3"/>
  <c r="E30" i="3"/>
  <c r="C31" i="3"/>
  <c r="E31" i="3"/>
  <c r="C32" i="3"/>
  <c r="E32" i="3"/>
  <c r="C33" i="3"/>
  <c r="E33" i="3"/>
  <c r="C34" i="3"/>
  <c r="E34" i="3"/>
  <c r="H34" i="3"/>
  <c r="I34" i="3"/>
  <c r="C38" i="3"/>
  <c r="E38" i="3"/>
  <c r="H38" i="3"/>
  <c r="I38" i="3"/>
  <c r="C43" i="3"/>
  <c r="E43" i="3"/>
  <c r="H43" i="3"/>
  <c r="C46" i="3"/>
  <c r="C47" i="3"/>
  <c r="D47" i="3"/>
  <c r="C49" i="3"/>
  <c r="C51" i="3"/>
  <c r="C52" i="3"/>
  <c r="C53" i="3"/>
  <c r="C54" i="3"/>
  <c r="E54" i="3"/>
  <c r="C56" i="3"/>
  <c r="C57" i="3"/>
  <c r="E57" i="3"/>
  <c r="C58" i="3"/>
  <c r="D58" i="3"/>
  <c r="F58" i="3"/>
  <c r="C59" i="3"/>
  <c r="C60" i="3"/>
  <c r="D60" i="3"/>
  <c r="D61" i="3"/>
  <c r="C5" i="5"/>
  <c r="E5" i="5"/>
  <c r="C6" i="5"/>
  <c r="E6" i="5"/>
  <c r="C7" i="5"/>
  <c r="G7" i="5"/>
  <c r="H7" i="5"/>
  <c r="C8" i="5"/>
  <c r="E8" i="5"/>
  <c r="G8" i="5"/>
  <c r="H8" i="5"/>
  <c r="C9" i="5"/>
  <c r="C11" i="5"/>
  <c r="E11" i="5"/>
  <c r="C12" i="5"/>
  <c r="C13" i="5"/>
  <c r="C15" i="5"/>
  <c r="E15" i="5"/>
  <c r="C16" i="5"/>
  <c r="C17" i="5"/>
  <c r="E17" i="5"/>
  <c r="F17" i="5"/>
  <c r="C18" i="5"/>
  <c r="E18" i="5"/>
  <c r="C21" i="5"/>
  <c r="E21" i="5"/>
  <c r="C22" i="5"/>
  <c r="F22" i="5"/>
  <c r="G22" i="5"/>
  <c r="C23" i="5"/>
  <c r="C26" i="5"/>
  <c r="C27" i="5"/>
  <c r="E27" i="5"/>
  <c r="C28" i="5"/>
  <c r="C30" i="5"/>
  <c r="E30" i="5"/>
  <c r="C31" i="5"/>
  <c r="E31" i="5"/>
  <c r="C32" i="5"/>
  <c r="E32" i="5"/>
  <c r="G32" i="5"/>
  <c r="H32" i="5"/>
  <c r="C33" i="5"/>
  <c r="C34" i="5"/>
  <c r="E34" i="5"/>
  <c r="C37" i="5"/>
  <c r="C38" i="5"/>
  <c r="C39" i="5"/>
  <c r="C40" i="5"/>
  <c r="H21" i="6"/>
  <c r="C23" i="6"/>
  <c r="C24" i="6"/>
  <c r="E24" i="6"/>
  <c r="C25" i="6"/>
  <c r="C26" i="6"/>
  <c r="E26" i="6"/>
  <c r="C27" i="6"/>
  <c r="E27" i="6"/>
  <c r="C29" i="6"/>
  <c r="C30" i="6"/>
  <c r="C31" i="6"/>
  <c r="E31" i="6"/>
  <c r="B32" i="6"/>
  <c r="C32" i="6"/>
  <c r="E34" i="6"/>
  <c r="C36" i="6"/>
  <c r="E36" i="6"/>
  <c r="C37" i="6"/>
  <c r="E37" i="6"/>
  <c r="B38" i="6"/>
  <c r="C38" i="6"/>
  <c r="C45" i="6"/>
  <c r="E45" i="6"/>
  <c r="C46" i="6"/>
  <c r="E46" i="6"/>
  <c r="C47" i="6"/>
  <c r="E47" i="6"/>
  <c r="H47" i="6"/>
  <c r="C48" i="6"/>
  <c r="E48" i="6"/>
  <c r="G48" i="6"/>
  <c r="H48" i="6"/>
  <c r="C49" i="6"/>
  <c r="E49" i="6"/>
  <c r="H49" i="6"/>
  <c r="C50" i="6"/>
  <c r="E50" i="6"/>
  <c r="H50" i="6"/>
  <c r="C51" i="6"/>
  <c r="E51" i="6"/>
  <c r="C53" i="6"/>
  <c r="C54" i="6"/>
  <c r="C55" i="6"/>
  <c r="C57" i="6"/>
  <c r="E57" i="6"/>
  <c r="C58" i="6"/>
  <c r="E58" i="6"/>
  <c r="C59" i="6"/>
  <c r="H60" i="6"/>
  <c r="C61" i="6"/>
  <c r="B19" i="8"/>
  <c r="F20" i="8"/>
  <c r="I20" i="8"/>
  <c r="F21" i="8"/>
  <c r="F22" i="8"/>
  <c r="B24" i="8"/>
  <c r="C5" i="7"/>
  <c r="C6" i="7"/>
  <c r="C7" i="7"/>
  <c r="F7" i="7"/>
  <c r="G7" i="7"/>
  <c r="H7" i="7"/>
  <c r="I7" i="7"/>
  <c r="C8" i="7"/>
  <c r="E8" i="7"/>
  <c r="F8" i="7"/>
  <c r="H8" i="7"/>
  <c r="I8" i="7"/>
  <c r="C9" i="7"/>
  <c r="F9" i="7"/>
  <c r="H9" i="7"/>
  <c r="I9" i="7"/>
  <c r="C10" i="7"/>
  <c r="F10" i="7"/>
  <c r="H10" i="7"/>
  <c r="C11" i="7"/>
  <c r="C14" i="7"/>
  <c r="C15" i="7"/>
  <c r="C16" i="7"/>
  <c r="C17" i="7"/>
  <c r="C18" i="7"/>
  <c r="C21" i="7"/>
  <c r="E21" i="7"/>
  <c r="C22" i="7"/>
  <c r="E22" i="7"/>
  <c r="C24" i="7"/>
  <c r="C25" i="7"/>
  <c r="C26" i="7"/>
  <c r="D26" i="7"/>
  <c r="C27" i="7"/>
  <c r="C28" i="7"/>
  <c r="C30" i="7"/>
  <c r="C31" i="7"/>
  <c r="C32" i="7"/>
  <c r="C33" i="7"/>
  <c r="D33" i="7"/>
  <c r="C34" i="7"/>
  <c r="D34" i="7"/>
  <c r="F34" i="7"/>
  <c r="B36" i="7"/>
  <c r="C36" i="7"/>
  <c r="E36" i="7"/>
  <c r="F36" i="7"/>
  <c r="E37" i="7"/>
  <c r="E38" i="7"/>
  <c r="F38" i="7"/>
  <c r="B39" i="7"/>
  <c r="C39" i="7"/>
  <c r="E39" i="7"/>
  <c r="C40" i="7"/>
  <c r="E40" i="7"/>
  <c r="C42" i="7"/>
  <c r="E42" i="7"/>
  <c r="C43" i="7"/>
  <c r="E43" i="7"/>
  <c r="C44" i="7"/>
  <c r="E44" i="7"/>
  <c r="C45" i="7"/>
  <c r="E45" i="7"/>
  <c r="C46" i="7"/>
  <c r="E46" i="7"/>
  <c r="F46" i="7"/>
  <c r="C47" i="7"/>
  <c r="D47" i="7"/>
  <c r="C50" i="7"/>
  <c r="E50" i="7"/>
  <c r="C53" i="7"/>
  <c r="E53" i="7"/>
  <c r="C56" i="7"/>
  <c r="C57" i="7"/>
  <c r="C58" i="7"/>
  <c r="C59" i="7"/>
  <c r="E59" i="7"/>
  <c r="C60" i="7"/>
  <c r="E60" i="7"/>
  <c r="C61" i="7"/>
  <c r="E62" i="7"/>
  <c r="E63" i="7"/>
  <c r="E64" i="7"/>
</calcChain>
</file>

<file path=xl/sharedStrings.xml><?xml version="1.0" encoding="utf-8"?>
<sst xmlns="http://schemas.openxmlformats.org/spreadsheetml/2006/main" count="834" uniqueCount="598">
  <si>
    <t>BAYER PROCESS — MASS &amp; WATER BALANCE CALCULATOR  |  Bauxite → Alumina Hydrate</t>
  </si>
  <si>
    <t>SECTION A — BAUXITE FEED COMPOSITION (INPUT)</t>
  </si>
  <si>
    <t>Parameter</t>
  </si>
  <si>
    <t>Input Value</t>
  </si>
  <si>
    <t>Units</t>
  </si>
  <si>
    <t>Stream</t>
  </si>
  <si>
    <t>Mass Flow</t>
  </si>
  <si>
    <t>Notes</t>
  </si>
  <si>
    <t>Bauxite Feed Rate (Wet Basis)</t>
  </si>
  <si>
    <t>ton/hr (wet)</t>
  </si>
  <si>
    <t>MASS IN</t>
  </si>
  <si>
    <t>ton/hr</t>
  </si>
  <si>
    <t>% of Total IN</t>
  </si>
  <si>
    <t>Source</t>
  </si>
  <si>
    <t>Free Moisture (% of wet feed)</t>
  </si>
  <si>
    <t>% wet basis</t>
  </si>
  <si>
    <t>Dashboard Input C6</t>
  </si>
  <si>
    <t>Dry Bauxite Feed Rate  [= C6×(1−C7)]</t>
  </si>
  <si>
    <t>ton/hr (dry)</t>
  </si>
  <si>
    <t>→ Digestion Tab C39</t>
  </si>
  <si>
    <t>DRY BASIS MINERAL COMPOSITION (must sum to 100%)</t>
  </si>
  <si>
    <t>→ % of Dry Bauxite</t>
  </si>
  <si>
    <t>L/S wash × dry RM</t>
  </si>
  <si>
    <t>Total Al₂O₃ (Aluminium Oxide)</t>
  </si>
  <si>
    <t>% dry basis</t>
  </si>
  <si>
    <t>wash of hydrate filter</t>
  </si>
  <si>
    <t>TOTAL MASS IN</t>
  </si>
  <si>
    <t>100.00%</t>
  </si>
  <si>
    <t>Fe₂O₃ (Hematite — INERT in NaOH)</t>
  </si>
  <si>
    <t>TiO₂ (Rutile/Anatase — INERT)</t>
  </si>
  <si>
    <t>MASS OUT</t>
  </si>
  <si>
    <t>Destination</t>
  </si>
  <si>
    <t>CaO (Calcium Oxide — INERT)</t>
  </si>
  <si>
    <t>→ Precipitation Tab C34</t>
  </si>
  <si>
    <t>MgO (Magnesium Oxide — INERT)</t>
  </si>
  <si>
    <t>Wet Red Mud Discharge</t>
  </si>
  <si>
    <t>→ Clarification Tab C44</t>
  </si>
  <si>
    <t>Na₂O (Sodium Oxide — INERT)</t>
  </si>
  <si>
    <t>Steam flash losses</t>
  </si>
  <si>
    <t>K₂O (Potassium Oxide — INERT)</t>
  </si>
  <si>
    <t>Cr₂O₃ (Chromium Oxide — INERT)</t>
  </si>
  <si>
    <t>Others / Loss on Ignition (LOI)</t>
  </si>
  <si>
    <t>BALANCE = IN − OUT  (target = 0.00)</t>
  </si>
  <si>
    <t>Σ DRY BASIS (should = 100%)</t>
  </si>
  <si>
    <t>SECTION B — PROCESS PARAMETERS (ADJUSTABLE)</t>
  </si>
  <si>
    <t>SECTION D — KEY OUTPUT STREAM SUMMARIES</t>
  </si>
  <si>
    <t>Value</t>
  </si>
  <si>
    <t>Units / Notes</t>
  </si>
  <si>
    <t>Output Stream</t>
  </si>
  <si>
    <t>Flow Rate (ton/hr)</t>
  </si>
  <si>
    <t>% of Feed</t>
  </si>
  <si>
    <t>Key Composition Note</t>
  </si>
  <si>
    <t>Digestion Efficiency of Al₂O₃</t>
  </si>
  <si>
    <t>Wet Al(OH)₃ Product (Alumina Hydrate)</t>
  </si>
  <si>
    <t>Al(OH)₃ + 10% free moisture → Tab 5</t>
  </si>
  <si>
    <t>L/S Ratio (Liquor-to-Solid in Digester)</t>
  </si>
  <si>
    <t>m³ liquor / ton dry bauxite</t>
  </si>
  <si>
    <t>Fe₂O₃, SiO₂/DSP, TiO₂, Inerts + entrained liquor</t>
  </si>
  <si>
    <t>g NaOH / L of make-up liquor</t>
  </si>
  <si>
    <t>Pure Al(OH)₃ (dry, precipitated)</t>
  </si>
  <si>
    <t>Precipitation Yield (Al(OH)₃ from liquor)</t>
  </si>
  <si>
    <t>% of dissolved Al recovered as Al(OH)₃</t>
  </si>
  <si>
    <t>NaOH Consumed (Net, Digestion)</t>
  </si>
  <si>
    <t>Main rxn + DSP side rxn NaOH loss</t>
  </si>
  <si>
    <t>Red Mud Wash Efficiency</t>
  </si>
  <si>
    <t>% of entrained liquor recovered</t>
  </si>
  <si>
    <t>NaOH Regenerated (Precipitation)</t>
  </si>
  <si>
    <t>NaOH recovered in precipitation</t>
  </si>
  <si>
    <t>Free Moisture in Wet Alumina Hydrate</t>
  </si>
  <si>
    <t>Mass fraction water in wet product</t>
  </si>
  <si>
    <t>Wash Water Added to Red Mud (ton/ton RM)</t>
  </si>
  <si>
    <t>ton water per ton dry RM</t>
  </si>
  <si>
    <t>L/S ratio requirement − bauxite moisture</t>
  </si>
  <si>
    <t>AIR MASUK (Water IN)</t>
  </si>
  <si>
    <t>AIR KELUAR (Water OUT)</t>
  </si>
  <si>
    <t>Water in entrained red mud</t>
  </si>
  <si>
    <t>TOTAL WATER IN (ton/hr)</t>
  </si>
  <si>
    <t>TOTAL WATER OUT (ton/hr)</t>
  </si>
  <si>
    <t>← totals should match</t>
  </si>
  <si>
    <t>WATER BALANCE CHECK (IN − OUT)</t>
  </si>
  <si>
    <t>MOLAR BASE DATA — BAYER PROCESS COMPOUNDS</t>
  </si>
  <si>
    <t>Molecular Weight Reference Table (g/mol = kg/kmol)</t>
  </si>
  <si>
    <t>#</t>
  </si>
  <si>
    <t>Compound / Species</t>
  </si>
  <si>
    <t>Formula</t>
  </si>
  <si>
    <t>MW (g/mol)</t>
  </si>
  <si>
    <t>Source / Notes</t>
  </si>
  <si>
    <t>Phase</t>
  </si>
  <si>
    <t>Aluminium Oxide (Alumina)</t>
  </si>
  <si>
    <t>Al₂O₃</t>
  </si>
  <si>
    <t>Al=26.98×2, O=16.00×3</t>
  </si>
  <si>
    <t>Solid</t>
  </si>
  <si>
    <t>Silicon Dioxide (Silica)</t>
  </si>
  <si>
    <t>SiO₂</t>
  </si>
  <si>
    <t>Si=28.09, O=16.00×2</t>
  </si>
  <si>
    <t>Iron (III) Oxide (Hematite)</t>
  </si>
  <si>
    <t>Fe₂O₃</t>
  </si>
  <si>
    <t>Fe=55.85×2, O=16.00×3</t>
  </si>
  <si>
    <t>Titanium Dioxide (Rutile)</t>
  </si>
  <si>
    <t>TiO₂</t>
  </si>
  <si>
    <t>Ti=47.90, O=16.00×2</t>
  </si>
  <si>
    <t>Calcium Oxide (Lime)</t>
  </si>
  <si>
    <t>CaO</t>
  </si>
  <si>
    <t>Ca=40.08, O=16.00</t>
  </si>
  <si>
    <t>Magnesium Oxide (Periclase)</t>
  </si>
  <si>
    <t>MgO</t>
  </si>
  <si>
    <t>Mg=24.30, O=16.00</t>
  </si>
  <si>
    <t>Sodium Oxide</t>
  </si>
  <si>
    <t>Na₂O</t>
  </si>
  <si>
    <t>Na=22.99×2, O=16.00</t>
  </si>
  <si>
    <t>Potassium Oxide</t>
  </si>
  <si>
    <t>K₂O</t>
  </si>
  <si>
    <t>K=39.10×2, O=16.00</t>
  </si>
  <si>
    <t>Chromium (III) Oxide</t>
  </si>
  <si>
    <t>Cr₂O₃</t>
  </si>
  <si>
    <t>Cr=52.00×2, O=16.00×3</t>
  </si>
  <si>
    <t>Sodium Hydroxide (Caustic)</t>
  </si>
  <si>
    <t>NaOH</t>
  </si>
  <si>
    <t>Na=22.99, O=16.00, H=1.00</t>
  </si>
  <si>
    <t>Liquid/Solid</t>
  </si>
  <si>
    <t>Water</t>
  </si>
  <si>
    <t>H₂O</t>
  </si>
  <si>
    <t>H=1.01×2, O=16.00</t>
  </si>
  <si>
    <t>Liquid/Gas</t>
  </si>
  <si>
    <t>Sodium Aluminate</t>
  </si>
  <si>
    <t>NaAlO₂</t>
  </si>
  <si>
    <t>Na=22.99,Al=26.98,O=16.00×2</t>
  </si>
  <si>
    <t>Aqueous</t>
  </si>
  <si>
    <t>Aluminium Hydroxide (Gibbsite)</t>
  </si>
  <si>
    <t>Al(OH)₃</t>
  </si>
  <si>
    <t>Al=26.98, O=16.00×3, H=1.01×3</t>
  </si>
  <si>
    <t>Gibbsite (Trihydrate form)</t>
  </si>
  <si>
    <t>Al₂O₃·3H₂O</t>
  </si>
  <si>
    <t>Al₂O₃(101.96)+3×H₂O(18.02)</t>
  </si>
  <si>
    <t>Ore Mineral</t>
  </si>
  <si>
    <t>Boehmite (Monohydrate)</t>
  </si>
  <si>
    <t>AlO(OH) / Al₂O₃·H₂O</t>
  </si>
  <si>
    <t>Al₂O₃(101.96)+H₂O(18.02)</t>
  </si>
  <si>
    <t>DSP (Desilication Product)</t>
  </si>
  <si>
    <t>Sodalite-type DSP</t>
  </si>
  <si>
    <t>Solid Residue</t>
  </si>
  <si>
    <t>Kaolinite</t>
  </si>
  <si>
    <t>Al₂Si₂O₅(OH)₄</t>
  </si>
  <si>
    <t>Reactive silica source</t>
  </si>
  <si>
    <t>Goethite</t>
  </si>
  <si>
    <t>FeO(OH)</t>
  </si>
  <si>
    <t>Inert in NaOH at 150°C</t>
  </si>
  <si>
    <t>Sodium Silicate</t>
  </si>
  <si>
    <t>Na₂SiO₃</t>
  </si>
  <si>
    <t>Na=22.99×2,Si=28.09,O=16.00×3</t>
  </si>
  <si>
    <t>Aqueous Intermediate</t>
  </si>
  <si>
    <t>Aluminium</t>
  </si>
  <si>
    <t>Al</t>
  </si>
  <si>
    <t>Atomic weight</t>
  </si>
  <si>
    <t>Element</t>
  </si>
  <si>
    <t>Silicon</t>
  </si>
  <si>
    <t>Si</t>
  </si>
  <si>
    <t>Iron</t>
  </si>
  <si>
    <t>Fe</t>
  </si>
  <si>
    <t>Sodium</t>
  </si>
  <si>
    <t>Na</t>
  </si>
  <si>
    <t>Oxygen</t>
  </si>
  <si>
    <t>O</t>
  </si>
  <si>
    <t>Hydrogen</t>
  </si>
  <si>
    <t>H</t>
  </si>
  <si>
    <t>KEY BAYER PROCESS REACTIONS — STOICHIOMETRIC REFERENCE</t>
  </si>
  <si>
    <t>Reaction</t>
  </si>
  <si>
    <t>Type</t>
  </si>
  <si>
    <t>NaOH Consumed (mol/mol Al₂O₃)</t>
  </si>
  <si>
    <t>H₂O Produced (mol/mol Al₂O₃)</t>
  </si>
  <si>
    <t>MAIN DIGESTION (Gibbsite):  Al₂O₃·3H₂O + 2NaOH → 2NaAlO₂ + 4H₂O</t>
  </si>
  <si>
    <t>4</t>
  </si>
  <si>
    <t>MAIN DIGESTION (Boehmite): Al₂O₃·H₂O + 2NaOH → 2NaAlO₂ + 2H₂O</t>
  </si>
  <si>
    <t>2</t>
  </si>
  <si>
    <t>DSP DESILICATION STEP 1:  SiO₂ + 2NaOH → Na₂SiO₃ + H₂O</t>
  </si>
  <si>
    <t>1</t>
  </si>
  <si>
    <t>DSP DESILICATION STEP 2:  2NaAlO₂ + 2Na₂SiO₃ + 4H₂O → DSP(s) + NaOH</t>
  </si>
  <si>
    <t>DSP solid</t>
  </si>
  <si>
    <t>NET DSP:  1 mol SiO₂ consumes 1 mol NaOH + 0.5 mol Al₂O₃</t>
  </si>
  <si>
    <t>Solid DSP</t>
  </si>
  <si>
    <t>PRECIPITATION:  2NaAlO₂ + 4H₂O → Al(OH)₃↓ + 2NaOH  [×2 for Al₂O₃ equiv.]</t>
  </si>
  <si>
    <t>4 consumed</t>
  </si>
  <si>
    <t>CALCINATION:  2Al(OH)₃ → Al₂O₃ + 3H₂O  (T=1050-1350°C)</t>
  </si>
  <si>
    <t>3</t>
  </si>
  <si>
    <t>DIGESTION BALANCE — Autoclave/Digester  |  NaOH Leaching of Bauxite Minerals</t>
  </si>
  <si>
    <t>Reactions: Al₂O₃·3H₂O + 2NaOH → 2NaAlO₂ + 4H₂O (Gibbsite)  |  DSP: SiO₂ + 2NaOH → Na₂SiO₃ + H₂O  then  2NaAlO₂ + 2Na₂SiO₃ + 4H₂O → DSP(s) + NaOH</t>
  </si>
  <si>
    <t>Component / Stream</t>
  </si>
  <si>
    <t>Phase / Fate</t>
  </si>
  <si>
    <t>Mass IN
(ton/hr)</t>
  </si>
  <si>
    <t>MW
(g/mol)</t>
  </si>
  <si>
    <t>kmol IN
(kmol/hr)</t>
  </si>
  <si>
    <t>Mass OUT
(ton/hr)
→ Liquor</t>
  </si>
  <si>
    <t>kmol OUT
(kmol/hr)
→ Liquor</t>
  </si>
  <si>
    <t>Mass OUT
(ton/hr)
→ Solid</t>
  </si>
  <si>
    <t>kmol OUT
(kmol/hr)
→ Solid</t>
  </si>
  <si>
    <t>A. DRY BAUXITE MINERAL INPUTS (ton/hr)</t>
  </si>
  <si>
    <t>Al₂O₃ (Total Alumina)</t>
  </si>
  <si>
    <t>→ REACTIVE (leached)</t>
  </si>
  <si>
    <t>SiO₂ (Reactive Silica)</t>
  </si>
  <si>
    <t>→ REACTIVE (DSP route)</t>
  </si>
  <si>
    <t>Fe₂O₃ (Hematite)</t>
  </si>
  <si>
    <t>INERT → Red Mud</t>
  </si>
  <si>
    <t>TiO₂ (Rutile/Anatase)</t>
  </si>
  <si>
    <t>Others/LOI</t>
  </si>
  <si>
    <t>→ Gas/Loss</t>
  </si>
  <si>
    <t>Free Moisture (H₂O in bauxite)</t>
  </si>
  <si>
    <t>→ Enters liquor</t>
  </si>
  <si>
    <t>TOTAL DRY MINERALS + MOISTURE INTO DIGESTER</t>
  </si>
  <si>
    <t>—</t>
  </si>
  <si>
    <t>B. WATER &amp; NaOH LIQUOR ADDED FOR L/S RATIO</t>
  </si>
  <si>
    <t>Target slurry mass for L/S ratio (ton water per hr)</t>
  </si>
  <si>
    <t>Water already present from bauxite moisture (ton/hr)</t>
  </si>
  <si>
    <t>MAKE-UP WATER REQUIRED (ton/hr)</t>
  </si>
  <si>
    <t>NaOH in make-up solution (ton NaOH/hr)</t>
  </si>
  <si>
    <t>Al₂O₃ dissolved (main digestion) [= total × dig.eff]</t>
  </si>
  <si>
    <t>NaOH consumed — main digestion [2 mol NaOH per mol Al₂O₃]</t>
  </si>
  <si>
    <t>NaAlO₂ produced [2 mol per mol Al₂O₃]</t>
  </si>
  <si>
    <t>H₂O produced (digestion main rxn) [4 mol per mol Al₂O₃, gibbsite]</t>
  </si>
  <si>
    <t>SiO₂ reacting with NaOH to form Na₂SiO₃ intermediate</t>
  </si>
  <si>
    <t>NaOH consumed by DSP [2 mol NaOH per mol SiO₂ → Step 1]</t>
  </si>
  <si>
    <t>Al₂O₃ lost to DSP solid [0.5 mol Al₂O₃ per mol SiO₂]</t>
  </si>
  <si>
    <t>DSP Solid formed (Na₂Al₂Si₂O₈·2H₂O approx.) [→ Red Mud]</t>
  </si>
  <si>
    <t>D. INERT MINERALS — PASS DIRECTLY TO UNDERFLOW (RED MUD)</t>
  </si>
  <si>
    <t>Fe₂O₃ (Hematite — inert in NaOH)</t>
  </si>
  <si>
    <t>TiO₂ (Rutile/Anatase — inert)</t>
  </si>
  <si>
    <t>CaO (inert at 150°C)</t>
  </si>
  <si>
    <t>MgO (inert at 150°C)</t>
  </si>
  <si>
    <t>Na₂O (minor, passes as solid)</t>
  </si>
  <si>
    <t>K₂O (minor, passes as solid)</t>
  </si>
  <si>
    <t>Cr₂O₃ (Chromite — completely inert)</t>
  </si>
  <si>
    <t>Unreacted Al₂O₃ [=(1−dig.eff)×total − DSP loss]</t>
  </si>
  <si>
    <t>E. DIGESTER WATER BALANCE — KEY FLOWS</t>
  </si>
  <si>
    <t>Water vapour / evaporation loss (flash, ~3% of slurry)</t>
  </si>
  <si>
    <t>Water released in flashing (pressure let-down, ~2%)</t>
  </si>
  <si>
    <t>F. NaOH CONSUMPTION SUMMARY</t>
  </si>
  <si>
    <t>NaOH consumed — main digestion (ton/hr)</t>
  </si>
  <si>
    <t>NaOH consumed — DSP desilication (ton/hr)</t>
  </si>
  <si>
    <t>TOTAL NaOH consumed in digestion (ton/hr)</t>
  </si>
  <si>
    <t>G. DIGESTER OVERFLOW LIQUOR COMPOSITION (goes to Clarification)</t>
  </si>
  <si>
    <t>Excess NaOH in liquor (ton/hr) [added − consumed]</t>
  </si>
  <si>
    <t>H₂O total in overflow liquor (ton/hr)</t>
  </si>
  <si>
    <t>TOTAL OVERFLOW LIQUOR (ton/hr)</t>
  </si>
  <si>
    <t>TOTAL SOLIDS TO CLARIFICATION (ton/hr)</t>
  </si>
  <si>
    <t>CLARIFICATION &amp; RED MUD BALANCE — Thickener / Washer  |  Solid-Liquid Separation</t>
  </si>
  <si>
    <t>Underflow = All Inerts + DSP + Unreacted Al₂O₃ + Entrained Liquor (after washing)</t>
  </si>
  <si>
    <t>Component</t>
  </si>
  <si>
    <t>IN (ton/hr)</t>
  </si>
  <si>
    <t>→ Overflow Liquor (ton/hr)</t>
  </si>
  <si>
    <t>→ Underflow Dry Solid (ton/hr)</t>
  </si>
  <si>
    <t>Entrained Liquor
before wash (ton/hr)</t>
  </si>
  <si>
    <t>Liquor Recovered
by Washing (ton/hr)</t>
  </si>
  <si>
    <t>Net in Red Mud
(ton/hr)</t>
  </si>
  <si>
    <t>NaAlO₂ (Sodium Aluminate in liquor)</t>
  </si>
  <si>
    <t>→ Overflow</t>
  </si>
  <si>
    <t>0</t>
  </si>
  <si>
    <t>Fe₂O₃ (Hematite — largest component)</t>
  </si>
  <si>
    <t>Inert Solid</t>
  </si>
  <si>
    <t>Unreacted Al₂O₃</t>
  </si>
  <si>
    <t>Residual Solid</t>
  </si>
  <si>
    <t>DSP (Desilication Product) solid</t>
  </si>
  <si>
    <t>Reaction Solid</t>
  </si>
  <si>
    <t>Wash water added to red mud (ton/hr)</t>
  </si>
  <si>
    <t>Entrained water remaining in red mud [=(1−wash eff) × wash water]</t>
  </si>
  <si>
    <t>WET RED MUD DISCHARGE (Total Underflow)</t>
  </si>
  <si>
    <t>WET RED MUD COMPOSITION (% breakdown) — as discharged</t>
  </si>
  <si>
    <t>Mass (ton/hr)</t>
  </si>
  <si>
    <t>% of Wet Red Mud</t>
  </si>
  <si>
    <t>→ Red Mud Storage / Disposal</t>
  </si>
  <si>
    <t>DSP (solid)</t>
  </si>
  <si>
    <t>TOTAL WET RED MUD CHECK</t>
  </si>
  <si>
    <t>PRECIPITATION &amp; ALUMINA HYDRATE BALANCE  |  NaAlO₂ + 2H₂O → Al(OH)₃↓ + NaOH</t>
  </si>
  <si>
    <t>Product: Wet Al(OH)₃ [Gibbsite] | Spent Liquor → NaOH Regenerated → Digestion Loop</t>
  </si>
  <si>
    <t>Mass IN (ton/hr)</t>
  </si>
  <si>
    <t>kmol IN (kmol/hr)</t>
  </si>
  <si>
    <t>Mass OUT (ton/hr)</t>
  </si>
  <si>
    <t>kmol OUT (kmol/hr)</t>
  </si>
  <si>
    <t>A. SODIUM ALUMINATE LIQUOR INTO PRECIPITATION (from Clarification)</t>
  </si>
  <si>
    <t>Excess NaOH in feed liquor (ton/hr)</t>
  </si>
  <si>
    <t>Water content of feed liquor (ton/hr)</t>
  </si>
  <si>
    <t>B. PRECIPITATION REACTION  — 2NaAlO₂ + 4H₂O → Al₂O₃·3H₂O + 2NaOH</t>
  </si>
  <si>
    <t>NaAlO₂ precipitated [= total × precip.yield]</t>
  </si>
  <si>
    <t>H₂O consumed in precipitation [2 mol H₂O per mol NaAlO₂]</t>
  </si>
  <si>
    <t>Al(OH)₃ precipitated (dry) [1 mol per mol NaAlO₂]</t>
  </si>
  <si>
    <t>NaOH regenerated [1 mol NaOH per mol NaAlO₂]</t>
  </si>
  <si>
    <t>C. WET ALUMINA HYDRATE PRODUCT STREAM COMPOSITION</t>
  </si>
  <si>
    <t>Al(OH)₃ dry precipitate (ton/hr)</t>
  </si>
  <si>
    <t>Free moisture in product [= Al(OH)₃ × moisture fraction / (1-fraction)]</t>
  </si>
  <si>
    <t>WET ALUMINA HYDRATE PRODUCT TOTAL (ton/hr)</t>
  </si>
  <si>
    <t>NaAlO₂ remaining in spent liquor (ton/hr)</t>
  </si>
  <si>
    <t>NaOH in spent liquor (excess + regenerated) (ton/hr)</t>
  </si>
  <si>
    <t>H₂O remaining in spent liquor (ton/hr)</t>
  </si>
  <si>
    <t>NaOH effectively recycled to digestion (ton/hr)</t>
  </si>
  <si>
    <t>Al₂O₃ produced in calciner (ton/hr) [Al₂O₃ MW=101.96, 2×Al(OH)₃=156]</t>
  </si>
  <si>
    <t>H₂O vapour released in calciner (ton/hr) [3×H₂O per 2×Al(OH)₃]</t>
  </si>
  <si>
    <t>Typical yield: ~2 ton bauxite → 1 ton Al₂O₃ → 0.5 ton Al (Hall-Héroult)</t>
  </si>
  <si>
    <t>C. DIGESTION REACTIONS — STOICHIOMETRIC MASS FLOWS ( Al₂O₃·3H₂O + 2NaOH   → 2NaAlO₂ + 4H₂O )</t>
  </si>
  <si>
    <t>Kinetics %Al₂O₃ dissolved into liquor in reactor</t>
  </si>
  <si>
    <t>SOURCE</t>
  </si>
  <si>
    <t xml:space="preserve">https://www.sciencedirect.com/science/article/pii/S1383586621020001 </t>
  </si>
  <si>
    <t>%Liquor filtrated into Overflow</t>
  </si>
  <si>
    <t>NaAlO₂ available in overflow liquor (ton/hr) after filtration process</t>
  </si>
  <si>
    <t>UNDERFLOW LIQUOR, RED MUD &amp; WASHING CALCULATIONS</t>
  </si>
  <si>
    <t>NaAlO₂ (Sodium Aluminate in liquor) carried into underflow</t>
  </si>
  <si>
    <t>Excess NaOH carried into underflow</t>
  </si>
  <si>
    <t>Red Mud Underflow (before washing)</t>
  </si>
  <si>
    <t xml:space="preserve">RECOVERABLE LIQUOR </t>
  </si>
  <si>
    <t>Recoverable NaAlO₂ (Sodium Aluminate in liquor) by washing</t>
  </si>
  <si>
    <t>Recoverable NaOH by washing</t>
  </si>
  <si>
    <t>WET RED MUD TOTAL (dry solids + Lost NaAlO2+Lost NaOH+entrained water) (ton/hr)</t>
  </si>
  <si>
    <t>Water recovered in wash recycle</t>
  </si>
  <si>
    <t>Water in bauxite slurry feed</t>
  </si>
  <si>
    <t>kluar</t>
  </si>
  <si>
    <t>in</t>
  </si>
  <si>
    <t>──── DSP DESILICATION ──── 6Na2SiO3 + 6NaAlO2+ 4H2O -&gt; Na₂Al₂Si₂O₈·2H₂O + NaOH</t>
  </si>
  <si>
    <t>water from dsp</t>
  </si>
  <si>
    <t>out</t>
  </si>
  <si>
    <t>DIGESTION</t>
  </si>
  <si>
    <t>Water Moisture In bauxite</t>
  </si>
  <si>
    <t>CLARIFICATION</t>
  </si>
  <si>
    <t>PRECIPITATION</t>
  </si>
  <si>
    <t xml:space="preserve">Steam injected into digester </t>
  </si>
  <si>
    <t>Steam Injected Into digester</t>
  </si>
  <si>
    <t>% Of Slurry Mass</t>
  </si>
  <si>
    <t xml:space="preserve">Steam injected to digester </t>
  </si>
  <si>
    <t>ITB MG-3215 Hydro-Electrometallurgy  |Process Engineer Dashboard</t>
  </si>
  <si>
    <t xml:space="preserve">SECTION E — WATER BALANCE </t>
  </si>
  <si>
    <t>Digestion Steam Evaporation Loss</t>
  </si>
  <si>
    <t>Steam Flashing Water release</t>
  </si>
  <si>
    <t>Reactive SiO₂ (Kaolinite, Clay,Ect)</t>
  </si>
  <si>
    <t>E. SPENT LIQUOR CONDITIONING</t>
  </si>
  <si>
    <t>Al/Si RATIO</t>
  </si>
  <si>
    <t>Target NaOH Solution Concentration in Digestion Tank</t>
  </si>
  <si>
    <t>INERT</t>
  </si>
  <si>
    <t>Target Ca/Si Ratio in Pre-Desilication Slurry</t>
  </si>
  <si>
    <t>Molar ratio, affects DSP Produced</t>
  </si>
  <si>
    <t>Ca(OH)₂ formed in tank (CaO + H₂O = Ca(OH)₂ )</t>
  </si>
  <si>
    <t>NaOH formed in tank (Na₂O + H₂O = 2NaOH)</t>
  </si>
  <si>
    <t>CaO added in Tank (Ca/Si Ratio)</t>
  </si>
  <si>
    <t>DSP Solid formed (Ca₃Al₂(SiO₄)₂(OH)₄ approx.) [→ Red Mud]</t>
  </si>
  <si>
    <t>2 mole of silica in each mole of kaolinite</t>
  </si>
  <si>
    <t>Ca(OH)₂ consumed by DSP [3 mol Ca(OH)₂ per 2 mol SiO₂ ]</t>
  </si>
  <si>
    <t>Pre-Desilication Process Efficiency</t>
  </si>
  <si>
    <t>SiO₂ in kaolinite reacting with  Ca(OH)₂ to form DSP (Al₂Si₂O₅(OH)₄+ 3 Ca(OH)₂ = Ca₃Al₂(SiO₄)₂(OH)₄ + 3H₂O approx.) (x percentage efficiency) [→ Red Mud]</t>
  </si>
  <si>
    <t>Water produced by DSP Reaction (3 mol H2O for each mol DSP)</t>
  </si>
  <si>
    <t xml:space="preserve">Ca₃Al₂(SiO₄)₂(OH)₄ </t>
  </si>
  <si>
    <t>Calcium Hydrogarnet DSP</t>
  </si>
  <si>
    <t>Na₂Al₂Si₂O₈·2H₂O</t>
  </si>
  <si>
    <t>Water lost by CaO  and Na2O hidration</t>
  </si>
  <si>
    <t>D.PRE-DECILICATION RECAP</t>
  </si>
  <si>
    <t>Water Lost During Process</t>
  </si>
  <si>
    <t>SiO2 Remains in slurry</t>
  </si>
  <si>
    <t>Water Balance</t>
  </si>
  <si>
    <t>Liquor recovered in wash recycle</t>
  </si>
  <si>
    <t>B. ALUMINO HYDRATE SEED REQUIREMENT</t>
  </si>
  <si>
    <t>Total Liquor Mass</t>
  </si>
  <si>
    <t xml:space="preserve">Seed Alumino Hydrate Ratio </t>
  </si>
  <si>
    <t>:1 mol ratio of dissolved Alumunium</t>
  </si>
  <si>
    <t>Al(OH)₃ Seed Requirement (ratio reference)</t>
  </si>
  <si>
    <t>Seed Concentration (g/l)</t>
  </si>
  <si>
    <t>Total Mass in reactor</t>
  </si>
  <si>
    <t>NaOH affected by carbonation</t>
  </si>
  <si>
    <t xml:space="preserve">%of NaOH turn into Na2CO3 </t>
  </si>
  <si>
    <t xml:space="preserve">Na2CO3 generation </t>
  </si>
  <si>
    <t>REMAINING COMPOSITION</t>
  </si>
  <si>
    <t>Remaining SiO₂ (Reactive Silica)</t>
  </si>
  <si>
    <t>Remaining Ca(OH)₂</t>
  </si>
  <si>
    <t>SPENT LIQUOR CONDITIONING BALANCE  |  Precipitation Liquor + Red Mud Washing</t>
  </si>
  <si>
    <t>A. PRECIPITATION LIQUOR COMPOSITION</t>
  </si>
  <si>
    <t>A. RED MUD WASHWATER COMPOSITION</t>
  </si>
  <si>
    <t>Water recovered by washing → recycle (ton/hr)</t>
  </si>
  <si>
    <t>Remaining NaOH in liquor  (ton/hr)</t>
  </si>
  <si>
    <t>Process Efficiency</t>
  </si>
  <si>
    <t>Recoverable NaOH from reaction</t>
  </si>
  <si>
    <t>Calcium Carbonate Solid Product</t>
  </si>
  <si>
    <t>Causticity</t>
  </si>
  <si>
    <t>Total Water in liquor</t>
  </si>
  <si>
    <t>Required evaporation (%of excess water)</t>
  </si>
  <si>
    <t>NaOH concentration before evaporation (g/l)</t>
  </si>
  <si>
    <t>NaOH concentration after evaporation (g/l)</t>
  </si>
  <si>
    <t>NaOH concentration after evaporation (g/l) + Bauxite Moisture</t>
  </si>
  <si>
    <t>Required NaOH composition in pre-decilication</t>
  </si>
  <si>
    <t xml:space="preserve">Added NaOH into Liquor </t>
  </si>
  <si>
    <t>NaOH concentration after evaporation (g/l)+Recovery Reaction (if Caustic level insufficient)</t>
  </si>
  <si>
    <t>%CaO to form as DSP</t>
  </si>
  <si>
    <t xml:space="preserve">NaOH </t>
  </si>
  <si>
    <t>A. INPUT FROM DRY-DESILICATION PROCESS</t>
  </si>
  <si>
    <t>Remaining Na2CO3</t>
  </si>
  <si>
    <t>Updated Causticity</t>
  </si>
  <si>
    <t>Recycled Liquor Mass</t>
  </si>
  <si>
    <t>Spent Liquor Na2CO3 conversion efficiency</t>
  </si>
  <si>
    <t>%Na2CO3 Reacted to form NaOH and CaCO3</t>
  </si>
  <si>
    <t>Minimum Causticity (Active NaOH/(NaOH+Na2CO3)</t>
  </si>
  <si>
    <t>(Active NaOH/(NaOH+Na2CO3)</t>
  </si>
  <si>
    <t>Recycled Liquor Composition</t>
  </si>
  <si>
    <t>Water content (Ton/Hour)</t>
  </si>
  <si>
    <t xml:space="preserve">Recoverable NaAlO₂ </t>
  </si>
  <si>
    <t>IS SPENT LIQUOR RECYLED BACK INTO THE PROCESS CURRENT? (0=NO, 1=YES)</t>
  </si>
  <si>
    <t xml:space="preserve"> Excess Ca(OH)₂</t>
  </si>
  <si>
    <t>Remains in Liquor</t>
  </si>
  <si>
    <t>Lost NaAlO2 in red mud</t>
  </si>
  <si>
    <t>Lost NaOH in red mud</t>
  </si>
  <si>
    <t>Entrained H₂O in red mud</t>
  </si>
  <si>
    <t>Excess Ca(OH)₂ carried into underflow</t>
  </si>
  <si>
    <t>Lost Ca(OH)₂ in red mud</t>
  </si>
  <si>
    <t>Recoverable Ca(OH)₂  by washing</t>
  </si>
  <si>
    <t xml:space="preserve">SOLIDS INTO UNDERFLOW </t>
  </si>
  <si>
    <t>Excess Ca(OH)₂ in feed liquor</t>
  </si>
  <si>
    <t>Excess NaOH (from digester)</t>
  </si>
  <si>
    <t>Excess Ca(OH)₂ (from digester)</t>
  </si>
  <si>
    <t>H₂O from digester</t>
  </si>
  <si>
    <t>OVERFLOW COMPOSITION</t>
  </si>
  <si>
    <t>→ Into Precipitation</t>
  </si>
  <si>
    <t>INTO SPENT LIQUOR CONDITIONING</t>
  </si>
  <si>
    <t>Excess Water carried into underflow</t>
  </si>
  <si>
    <t>NaOH Mass</t>
  </si>
  <si>
    <t>NaOH Concentration (g/l)</t>
  </si>
  <si>
    <t>Ca(OH)₂ remaining in spent liquor</t>
  </si>
  <si>
    <t>Na2CO3 generation by Carbonation</t>
  </si>
  <si>
    <t>Total Ca(OH)₂ in Liquor</t>
  </si>
  <si>
    <t>Burnt Lime Addition</t>
  </si>
  <si>
    <t xml:space="preserve">Water Consumption for CaO Hydration </t>
  </si>
  <si>
    <t>Calcium Consumption requirement (in form of CaOH2)</t>
  </si>
  <si>
    <t>Available Calcium in Liquor</t>
  </si>
  <si>
    <t>Na2CO3 reduction target (%of total mass)</t>
  </si>
  <si>
    <t>Current Na2CO3</t>
  </si>
  <si>
    <t>Target Make Up water into pre-desilication</t>
  </si>
  <si>
    <t>Ca(OH)₂ in spent liquor</t>
  </si>
  <si>
    <t>B. WATER REQUIREMENT FOR PROCESSING</t>
  </si>
  <si>
    <t>Total Composition</t>
  </si>
  <si>
    <t>Water Loss For Hydration in Spent Liquor</t>
  </si>
  <si>
    <t>Water Loss For Hydraation in Pre-Desilication process</t>
  </si>
  <si>
    <t>CAUSTICITY</t>
  </si>
  <si>
    <t>MAKE UP WATER FROM RECYCLED SPENT LIQUOR COMPOSITION</t>
  </si>
  <si>
    <t>TOTAL WATER AND COMPOSITION IN SYSTEM</t>
  </si>
  <si>
    <t>Total Water in system</t>
  </si>
  <si>
    <t>NaOH Concentration (g/l) in spent liquor</t>
  </si>
  <si>
    <t>Total NaOH in Liquor before conditioning</t>
  </si>
  <si>
    <t>NaOH in liquor after conditioning</t>
  </si>
  <si>
    <t>Target NaOH Concentration in pre-desilication(Include Bauxite Moisture)</t>
  </si>
  <si>
    <t>Total NaOH requirement -Na composition in bauxite</t>
  </si>
  <si>
    <t xml:space="preserve">Ca/SI Molar Ratio Requirement </t>
  </si>
  <si>
    <t>SiO2 molar mass</t>
  </si>
  <si>
    <t>Total Water in System</t>
  </si>
  <si>
    <t>NaAlO₂ from recycled liquor</t>
  </si>
  <si>
    <t>Total NaAlO₂ in overflow liquor (ton/hr)</t>
  </si>
  <si>
    <t xml:space="preserve">KOMPONEN MASUK </t>
  </si>
  <si>
    <t xml:space="preserve">KOMPONEN KELUAR </t>
  </si>
  <si>
    <t>PRE-DESILICATION</t>
  </si>
  <si>
    <t>SECTION F — ALUMUNIUM BALANCE (Molar Mass)</t>
  </si>
  <si>
    <t>Al₂O₃ (Alumunium from bauxite)</t>
  </si>
  <si>
    <t>NaAlO₂ (Alumunium from recycled spent liquor)</t>
  </si>
  <si>
    <t>C ──── DSP DESILICATION ────  (Al₂Si₂O₅(OH)₄+ 3 Ca(OH)₂ = Ca₃Al₂(SiO₄)₂(OH)₄ + 3H₂O approx.)</t>
  </si>
  <si>
    <t>Alumunium consumed by DSP (1Mol Al for each 1 mol SiO2) Calcium Hydrogranet</t>
  </si>
  <si>
    <t>Al₂O₃ lost to DSP solid [0.5 mol Al₂O₃ per mol SiO₂] Soldalite</t>
  </si>
  <si>
    <t xml:space="preserve">Al₂O₃ </t>
  </si>
  <si>
    <t>Al₂O₃ consumed by DSP (1Mol Al for each 1 mol SiO2)</t>
  </si>
  <si>
    <t>NaAlO₂ (Alumunium entrained in red mud)</t>
  </si>
  <si>
    <t>Unreacted Al₂O₃ in red mud</t>
  </si>
  <si>
    <t>Alumunium in Spent liquor</t>
  </si>
  <si>
    <t>Al in</t>
  </si>
  <si>
    <t>Al out</t>
  </si>
  <si>
    <t>Remaining unreacted Al2O3</t>
  </si>
  <si>
    <t>Alin</t>
  </si>
  <si>
    <t>recover</t>
  </si>
  <si>
    <t>Added NaOH into the system suring spent liquor conditioning</t>
  </si>
  <si>
    <t>SECTION F — NaOH BALANCE (Molar Mass)</t>
  </si>
  <si>
    <t>NaOH generated from bauxite hydration</t>
  </si>
  <si>
    <t>NaOH from Recycled liquor</t>
  </si>
  <si>
    <t xml:space="preserve">NaOH content in spent liquor (excess + regenerated) (ton/hr) </t>
  </si>
  <si>
    <t>NaOH Affected by carbonation</t>
  </si>
  <si>
    <t xml:space="preserve">D. SPENT LIQUOR COMPOSITION </t>
  </si>
  <si>
    <t>E. Carbonation Reaction of NaOH ( 2NaOH +CO₂ = Na₂CO₃ + H₂O)</t>
  </si>
  <si>
    <t>H₂O generated by carbonation</t>
  </si>
  <si>
    <t>Water Added by Carbonation Reaction</t>
  </si>
  <si>
    <t>SECTION G — CaO/(CaOH)2 BALANCE (Molar Mass)</t>
  </si>
  <si>
    <t>Ca(OH)₂ generated from bauxite hydration</t>
  </si>
  <si>
    <t>Ca(OH)₂ from Recycled spent liquor</t>
  </si>
  <si>
    <t>Ca(OH)₂ lost to DSP solid [2 mol NaOH per mol SiO₂ ]  Calcium Hydrogarnet</t>
  </si>
  <si>
    <t>SPENT LIQUOR CONDITIONING</t>
  </si>
  <si>
    <t>Ca(OH)₂ consumed for NaOH regeneration reaction</t>
  </si>
  <si>
    <t xml:space="preserve">Total CaOH2 in Tank (After hydration) </t>
  </si>
  <si>
    <t>Current Calcium molar Mass in system</t>
  </si>
  <si>
    <t xml:space="preserve">Ca/Si </t>
  </si>
  <si>
    <t>UPDATED CA/SI RATIO</t>
  </si>
  <si>
    <t>Added Ca(OH)₂ into PRE_DESILICATION treatment</t>
  </si>
  <si>
    <t>Ca(OH)₂ liquor entrain inside redmud</t>
  </si>
  <si>
    <t>Ca(OH)₂ into spent liquor</t>
  </si>
  <si>
    <t>NaOH Entrain in red mud</t>
  </si>
  <si>
    <t>in naoh</t>
  </si>
  <si>
    <t>out naoh</t>
  </si>
  <si>
    <t>naoh in</t>
  </si>
  <si>
    <t>naoh out</t>
  </si>
  <si>
    <t>NaOH affected by Carbonation</t>
  </si>
  <si>
    <t>Ca(OH)₂ process consumption</t>
  </si>
  <si>
    <t>CaO added for NaOH regeneration</t>
  </si>
  <si>
    <t>DSP Product</t>
  </si>
  <si>
    <t>redmud</t>
  </si>
  <si>
    <t>na terpresipitaSI</t>
  </si>
  <si>
    <t>SECTION H— SiO2 BALANCE</t>
  </si>
  <si>
    <t>NaOH consumes during digestion (DSP + bauxite)</t>
  </si>
  <si>
    <t>DIGESTION NAOH BALANCE</t>
  </si>
  <si>
    <t>OUT DATA</t>
  </si>
  <si>
    <t>IN DATA</t>
  </si>
  <si>
    <t>Total NaOH masuk</t>
  </si>
  <si>
    <t>digesti al</t>
  </si>
  <si>
    <t>digrsti dsp</t>
  </si>
  <si>
    <t>outflow</t>
  </si>
  <si>
    <t>CLARIFICATION NAOH BALANCE</t>
  </si>
  <si>
    <t>Total NaOH in</t>
  </si>
  <si>
    <t>out ke red mud</t>
  </si>
  <si>
    <t>out kw spent</t>
  </si>
  <si>
    <t>PRESI NAOH BALANCE</t>
  </si>
  <si>
    <t>Total masuk</t>
  </si>
  <si>
    <t>presipi</t>
  </si>
  <si>
    <t>terkarbo</t>
  </si>
  <si>
    <t>masuk cleaning</t>
  </si>
  <si>
    <t>NaOH recovered In Precipitation</t>
  </si>
  <si>
    <t>Total</t>
  </si>
  <si>
    <t>NaOH In Spent Liquor</t>
  </si>
  <si>
    <t>SiO2 generated from bauxite hydration</t>
  </si>
  <si>
    <t xml:space="preserve"> DSP solid [2 mol NaOH per mol SiO₂ ]  Calcium Hydrogarnet Production</t>
  </si>
  <si>
    <t>DSP solid [0.5 mol Al₂O₃ per mol SiO₂] Soldalite</t>
  </si>
  <si>
    <t>Water loss during evaporation</t>
  </si>
  <si>
    <t>Wash water for red mud washing into liquor conditioning</t>
  </si>
  <si>
    <t>Water consumed by Hydration (Na2O and CaO)</t>
  </si>
  <si>
    <t>Water produced duing DSP reaction</t>
  </si>
  <si>
    <t>Digestion</t>
  </si>
  <si>
    <t>Water lost for hydration of CaO</t>
  </si>
  <si>
    <t>H2O into Digestion Process</t>
  </si>
  <si>
    <t>Remaining water in Digestion Tank</t>
  </si>
  <si>
    <t>Water recycled into pre-desilication</t>
  </si>
  <si>
    <t>Water added by steam</t>
  </si>
  <si>
    <t>SECTION C — OVERALL  MASS BALANCE VERIFICATION</t>
  </si>
  <si>
    <t>Alumina Hydrate water requirement for washing</t>
  </si>
  <si>
    <t>NaOH Regenerated (Condiitoning)</t>
  </si>
  <si>
    <t>Alumunium Feed (Al) from bauxite</t>
  </si>
  <si>
    <t>Alumunium in Recycled Spent Liquor</t>
  </si>
  <si>
    <t>Alumunium Recovery Rate (From Feed)</t>
  </si>
  <si>
    <t>Unrecovered Aluminium (into Spent Liquor)</t>
  </si>
  <si>
    <t>Alumunium Lost in Red Mud</t>
  </si>
  <si>
    <t>NaOH Affected By Carbonation</t>
  </si>
  <si>
    <t>CaOH Consumed (Net, Pre-Desilication)</t>
  </si>
  <si>
    <t>CaOH2 Lost in Red Mud (Net, Clarification)</t>
  </si>
  <si>
    <t>Clarification Process Efficiency</t>
  </si>
  <si>
    <t>CaOH2  consumption (Net, Spent Liquor Conditioning)</t>
  </si>
  <si>
    <t>Water consumed by DSP Reaction (4 mol H2O for each mol DSP)</t>
  </si>
  <si>
    <t>Water consumed by DSP</t>
  </si>
  <si>
    <t>Water Consumption (Pre-Decilication, Digestion, Precipitation)</t>
  </si>
  <si>
    <t>Water Regeneration (NaOH reaction)</t>
  </si>
  <si>
    <t>Water added from redmud washing into conditioning</t>
  </si>
  <si>
    <t>Water removed through evaporation</t>
  </si>
  <si>
    <t xml:space="preserve">https://www.e3s-conferences.org/articles/e3sconf/pdf/2016/03/e3sconf_mec2016_01021.pdf </t>
  </si>
  <si>
    <t>KINETIKA DIGESTION  ( Al₂O₃·3H₂O + 2NaOH   → 2NaAlO₂ + 4H₂O )</t>
  </si>
  <si>
    <t>Ukuran Partikel Bauksit</t>
  </si>
  <si>
    <t>mikrometer</t>
  </si>
  <si>
    <t>Input</t>
  </si>
  <si>
    <t>Suhu Digester</t>
  </si>
  <si>
    <t>C</t>
  </si>
  <si>
    <t xml:space="preserve">Waktu Tinggal </t>
  </si>
  <si>
    <t>Partikel Bauksit</t>
  </si>
  <si>
    <t>Konsentrasi NaOH</t>
  </si>
  <si>
    <t>R</t>
  </si>
  <si>
    <t>Constant (C0)</t>
  </si>
  <si>
    <t>Energi aktivasi</t>
  </si>
  <si>
    <t>EXP(-EA/RT)</t>
  </si>
  <si>
    <t>k</t>
  </si>
  <si>
    <t xml:space="preserve">                   </t>
  </si>
  <si>
    <t>%Leaching</t>
  </si>
  <si>
    <t>PERHITUNGAN</t>
  </si>
  <si>
    <t>KINETIKA PRECIPITATION (  2NaAlO₂ + 4H₂O → Al₂O₃·3H₂O + 2NaOH)</t>
  </si>
  <si>
    <t xml:space="preserve">Ccaustic </t>
  </si>
  <si>
    <t>g/l</t>
  </si>
  <si>
    <t>Constant a</t>
  </si>
  <si>
    <t>Constant b</t>
  </si>
  <si>
    <t>Precipitation Temperature</t>
  </si>
  <si>
    <t>T</t>
  </si>
  <si>
    <t>kelvin</t>
  </si>
  <si>
    <t>Ceq</t>
  </si>
  <si>
    <t>nMax</t>
  </si>
  <si>
    <t>Constant kp</t>
  </si>
  <si>
    <t>Persen Ekstraksi</t>
  </si>
  <si>
    <t>Alumina Hydrate Seed</t>
  </si>
  <si>
    <t>Seed Alumina hydrate</t>
  </si>
  <si>
    <t>Luas permukaan</t>
  </si>
  <si>
    <t>Aseed</t>
  </si>
  <si>
    <t>M2/gram</t>
  </si>
  <si>
    <t>NaOH Recovery Reaction ( Na₂CO₃+H₂O+CaO = CaCO₃ + 2NaOH )</t>
  </si>
  <si>
    <t>Total CaO consumed</t>
  </si>
  <si>
    <t>CaO Addition in process</t>
  </si>
  <si>
    <t>Harga Bauksit per ton</t>
  </si>
  <si>
    <t>Harga NaOH per ton</t>
  </si>
  <si>
    <t>Harga CaO per ton</t>
  </si>
  <si>
    <t>Harga Air per ton</t>
  </si>
  <si>
    <t>Bauxite requirement</t>
  </si>
  <si>
    <t>Cost (USD)</t>
  </si>
  <si>
    <t>Net Make-up NaOH Required (Recycled Spent Liquor) per hour</t>
  </si>
  <si>
    <t>Water Consumed</t>
  </si>
  <si>
    <t>Added NaOH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</si>
</sst>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3C3C3C"/>
      <name val="Arial"/>
      <family val="2"/>
    </font>
    <font>
      <sz val="10"/>
      <color rgb="FF3C3C3C"/>
      <name val="Arial"/>
      <family val="2"/>
    </font>
    <font>
      <b/>
      <sz val="10"/>
      <color rgb="FF0000CC"/>
      <name val="Arial"/>
      <family val="2"/>
    </font>
    <font>
      <b/>
      <sz val="9"/>
      <color rgb="FF3C3C3C"/>
      <name val="Arial"/>
      <family val="2"/>
    </font>
    <font>
      <sz val="9"/>
      <color rgb="FF3C3C3C"/>
      <name val="Arial"/>
      <family val="2"/>
    </font>
    <font>
      <b/>
      <sz val="13"/>
      <color rgb="FFFFFFFF"/>
      <name val="Arial"/>
      <family val="2"/>
    </font>
    <font>
      <b/>
      <sz val="10"/>
      <color rgb="FF006400"/>
      <name val="Arial"/>
      <family val="2"/>
    </font>
    <font>
      <sz val="10"/>
      <color rgb="FF006400"/>
      <name val="Arial"/>
      <family val="2"/>
    </font>
    <font>
      <b/>
      <sz val="11"/>
      <color rgb="FF3C3C3C"/>
      <name val="Arial"/>
      <family val="2"/>
    </font>
    <font>
      <b/>
      <sz val="12"/>
      <color rgb="FF006400"/>
      <name val="Arial"/>
      <family val="2"/>
    </font>
    <font>
      <b/>
      <sz val="11"/>
      <name val="Arial"/>
      <family val="2"/>
    </font>
    <font>
      <b/>
      <sz val="11"/>
      <color rgb="FF006400"/>
      <name val="Arial"/>
      <family val="2"/>
    </font>
    <font>
      <b/>
      <sz val="12"/>
      <name val="Arial"/>
      <family val="2"/>
    </font>
    <font>
      <b/>
      <sz val="12"/>
      <color rgb="FF3C3C3C"/>
      <name val="Arial"/>
      <family val="2"/>
    </font>
    <font>
      <b/>
      <sz val="11"/>
      <color rgb="FF0000CC"/>
      <name val="Arial"/>
      <family val="2"/>
    </font>
    <font>
      <i/>
      <sz val="10"/>
      <color rgb="FF3C3C3C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rgb="FFFFFFFF"/>
      <name val="Arial"/>
      <family val="2"/>
    </font>
    <font>
      <b/>
      <sz val="10"/>
      <color rgb="FF3C3C3C"/>
      <name val="Arial"/>
      <family val="2"/>
    </font>
    <font>
      <sz val="10"/>
      <color rgb="FF3C3C3C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D2137"/>
      </patternFill>
    </fill>
    <fill>
      <patternFill patternType="solid">
        <fgColor rgb="FF2E6DA4"/>
      </patternFill>
    </fill>
    <fill>
      <patternFill patternType="solid">
        <fgColor rgb="FF1A3A5C"/>
      </patternFill>
    </fill>
    <fill>
      <patternFill patternType="solid">
        <fgColor rgb="FFF2F4F7"/>
      </patternFill>
    </fill>
    <fill>
      <patternFill patternType="solid">
        <fgColor rgb="FFFFFFFF"/>
      </patternFill>
    </fill>
    <fill>
      <patternFill patternType="solid">
        <fgColor rgb="FFFFF2CC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D6DCE4"/>
      </patternFill>
    </fill>
    <fill>
      <patternFill patternType="solid">
        <fgColor rgb="FFE8A02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rgb="FF9BB1C8"/>
      </left>
      <right style="thin">
        <color rgb="FF9BB1C8"/>
      </right>
      <top style="thin">
        <color rgb="FF9BB1C8"/>
      </top>
      <bottom style="thin">
        <color rgb="FF9BB1C8"/>
      </bottom>
      <diagonal/>
    </border>
    <border>
      <left/>
      <right/>
      <top style="thin">
        <color rgb="FF9BB1C8"/>
      </top>
      <bottom style="thin">
        <color rgb="FF9BB1C8"/>
      </bottom>
      <diagonal/>
    </border>
    <border>
      <left/>
      <right style="thin">
        <color rgb="FF9BB1C8"/>
      </right>
      <top style="thin">
        <color rgb="FF9BB1C8"/>
      </top>
      <bottom style="thin">
        <color rgb="FF9BB1C8"/>
      </bottom>
      <diagonal/>
    </border>
    <border>
      <left style="medium">
        <color rgb="FF1A3A5C"/>
      </left>
      <right style="medium">
        <color rgb="FF1A3A5C"/>
      </right>
      <top style="medium">
        <color rgb="FF1A3A5C"/>
      </top>
      <bottom style="medium">
        <color rgb="FF1A3A5C"/>
      </bottom>
      <diagonal/>
    </border>
    <border>
      <left/>
      <right/>
      <top/>
      <bottom style="thin">
        <color rgb="FF9BB1C8"/>
      </bottom>
      <diagonal/>
    </border>
    <border>
      <left style="thin">
        <color rgb="FF9BB1C8"/>
      </left>
      <right/>
      <top style="thin">
        <color rgb="FF9BB1C8"/>
      </top>
      <bottom style="thin">
        <color rgb="FF9BB1C8"/>
      </bottom>
      <diagonal/>
    </border>
    <border>
      <left style="thin">
        <color rgb="FF9BB1C8"/>
      </left>
      <right/>
      <top/>
      <bottom style="thin">
        <color rgb="FF9BB1C8"/>
      </bottom>
      <diagonal/>
    </border>
    <border>
      <left/>
      <right style="thin">
        <color rgb="FF9BB1C8"/>
      </right>
      <top/>
      <bottom style="thin">
        <color rgb="FF9BB1C8"/>
      </bottom>
      <diagonal/>
    </border>
    <border>
      <left style="thin">
        <color rgb="FF9BB1C8"/>
      </left>
      <right/>
      <top/>
      <bottom/>
      <diagonal/>
    </border>
    <border>
      <left/>
      <right style="thin">
        <color rgb="FF9BB1C8"/>
      </right>
      <top/>
      <bottom/>
      <diagonal/>
    </border>
    <border>
      <left style="thin">
        <color rgb="FF9BB1C8"/>
      </left>
      <right/>
      <top style="thin">
        <color rgb="FF9BB1C8"/>
      </top>
      <bottom/>
      <diagonal/>
    </border>
    <border>
      <left/>
      <right style="thin">
        <color rgb="FF9BB1C8"/>
      </right>
      <top style="thin">
        <color rgb="FF9BB1C8"/>
      </top>
      <bottom/>
      <diagonal/>
    </border>
    <border>
      <left/>
      <right style="medium">
        <color rgb="FF1A3A5C"/>
      </right>
      <top style="thin">
        <color rgb="FF9BB1C8"/>
      </top>
      <bottom style="thin">
        <color rgb="FF9BB1C8"/>
      </bottom>
      <diagonal/>
    </border>
    <border>
      <left/>
      <right/>
      <top style="thin">
        <color rgb="FF9BB1C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25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" fontId="5" fillId="8" borderId="1" xfId="0" applyNumberFormat="1" applyFont="1" applyFill="1" applyBorder="1" applyAlignment="1">
      <alignment horizontal="right" vertical="center"/>
    </xf>
    <xf numFmtId="0" fontId="4" fillId="8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vertical="center" wrapText="1"/>
    </xf>
    <xf numFmtId="10" fontId="5" fillId="5" borderId="1" xfId="0" applyNumberFormat="1" applyFont="1" applyFill="1" applyBorder="1" applyAlignment="1">
      <alignment horizontal="right" vertical="center"/>
    </xf>
    <xf numFmtId="4" fontId="10" fillId="8" borderId="1" xfId="0" applyNumberFormat="1" applyFont="1" applyFill="1" applyBorder="1" applyAlignment="1">
      <alignment horizontal="right" vertical="center"/>
    </xf>
    <xf numFmtId="10" fontId="4" fillId="8" borderId="1" xfId="0" applyNumberFormat="1" applyFont="1" applyFill="1" applyBorder="1" applyAlignment="1">
      <alignment horizontal="right" vertical="center"/>
    </xf>
    <xf numFmtId="0" fontId="4" fillId="9" borderId="1" xfId="0" applyFont="1" applyFill="1" applyBorder="1" applyAlignment="1">
      <alignment horizontal="left" vertical="center" wrapText="1"/>
    </xf>
    <xf numFmtId="4" fontId="9" fillId="9" borderId="1" xfId="0" applyNumberFormat="1" applyFont="1" applyFill="1" applyBorder="1" applyAlignment="1">
      <alignment horizontal="right" vertical="center"/>
    </xf>
    <xf numFmtId="0" fontId="4" fillId="10" borderId="1" xfId="0" applyFont="1" applyFill="1" applyBorder="1" applyAlignment="1">
      <alignment horizontal="left" vertical="center" wrapText="1"/>
    </xf>
    <xf numFmtId="10" fontId="5" fillId="8" borderId="1" xfId="0" applyNumberFormat="1" applyFont="1" applyFill="1" applyBorder="1" applyAlignment="1">
      <alignment horizontal="right" vertical="center"/>
    </xf>
    <xf numFmtId="4" fontId="11" fillId="10" borderId="1" xfId="0" applyNumberFormat="1" applyFont="1" applyFill="1" applyBorder="1" applyAlignment="1">
      <alignment horizontal="right" vertical="center"/>
    </xf>
    <xf numFmtId="10" fontId="0" fillId="0" borderId="0" xfId="0" applyNumberFormat="1"/>
    <xf numFmtId="0" fontId="4" fillId="7" borderId="1" xfId="0" applyFont="1" applyFill="1" applyBorder="1" applyAlignment="1">
      <alignment horizontal="left" vertical="center" wrapText="1"/>
    </xf>
    <xf numFmtId="4" fontId="10" fillId="7" borderId="1" xfId="0" applyNumberFormat="1" applyFont="1" applyFill="1" applyBorder="1" applyAlignment="1">
      <alignment horizontal="right" vertical="center"/>
    </xf>
    <xf numFmtId="10" fontId="5" fillId="7" borderId="1" xfId="0" applyNumberFormat="1" applyFont="1" applyFill="1" applyBorder="1" applyAlignment="1">
      <alignment horizontal="right" vertical="center"/>
    </xf>
    <xf numFmtId="4" fontId="12" fillId="0" borderId="4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3" fillId="9" borderId="1" xfId="0" applyFont="1" applyFill="1" applyBorder="1" applyAlignment="1">
      <alignment horizontal="left" vertical="center" wrapText="1"/>
    </xf>
    <xf numFmtId="10" fontId="9" fillId="9" borderId="1" xfId="0" applyNumberFormat="1" applyFont="1" applyFill="1" applyBorder="1" applyAlignment="1">
      <alignment horizontal="right" vertical="center"/>
    </xf>
    <xf numFmtId="4" fontId="10" fillId="5" borderId="1" xfId="0" applyNumberFormat="1" applyFont="1" applyFill="1" applyBorder="1" applyAlignment="1">
      <alignment horizontal="right" vertical="center"/>
    </xf>
    <xf numFmtId="10" fontId="4" fillId="5" borderId="1" xfId="0" applyNumberFormat="1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left" vertical="center" wrapText="1"/>
    </xf>
    <xf numFmtId="4" fontId="10" fillId="6" borderId="1" xfId="0" applyNumberFormat="1" applyFont="1" applyFill="1" applyBorder="1" applyAlignment="1">
      <alignment horizontal="right" vertical="center"/>
    </xf>
    <xf numFmtId="10" fontId="4" fillId="6" borderId="1" xfId="0" applyNumberFormat="1" applyFont="1" applyFill="1" applyBorder="1" applyAlignment="1">
      <alignment horizontal="right" vertical="center"/>
    </xf>
    <xf numFmtId="4" fontId="5" fillId="5" borderId="1" xfId="0" applyNumberFormat="1" applyFont="1" applyFill="1" applyBorder="1" applyAlignment="1">
      <alignment horizontal="right" vertical="center"/>
    </xf>
    <xf numFmtId="4" fontId="14" fillId="10" borderId="4" xfId="0" applyNumberFormat="1" applyFont="1" applyFill="1" applyBorder="1" applyAlignment="1">
      <alignment horizontal="right" vertical="center"/>
    </xf>
    <xf numFmtId="4" fontId="15" fillId="9" borderId="4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2" fontId="5" fillId="6" borderId="1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4" fontId="4" fillId="5" borderId="1" xfId="0" applyNumberFormat="1" applyFont="1" applyFill="1" applyBorder="1" applyAlignment="1">
      <alignment horizontal="right" vertical="center"/>
    </xf>
    <xf numFmtId="2" fontId="4" fillId="5" borderId="1" xfId="0" applyNumberFormat="1" applyFont="1" applyFill="1" applyBorder="1" applyAlignment="1">
      <alignment horizontal="right" vertical="center"/>
    </xf>
    <xf numFmtId="4" fontId="4" fillId="6" borderId="1" xfId="0" applyNumberFormat="1" applyFont="1" applyFill="1" applyBorder="1" applyAlignment="1">
      <alignment horizontal="right" vertical="center"/>
    </xf>
    <xf numFmtId="2" fontId="4" fillId="6" borderId="1" xfId="0" applyNumberFormat="1" applyFont="1" applyFill="1" applyBorder="1" applyAlignment="1">
      <alignment horizontal="right" vertical="center"/>
    </xf>
    <xf numFmtId="4" fontId="10" fillId="10" borderId="1" xfId="0" applyNumberFormat="1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 wrapText="1"/>
    </xf>
    <xf numFmtId="4" fontId="4" fillId="10" borderId="1" xfId="0" applyNumberFormat="1" applyFont="1" applyFill="1" applyBorder="1" applyAlignment="1">
      <alignment horizontal="right" vertical="center"/>
    </xf>
    <xf numFmtId="4" fontId="4" fillId="8" borderId="1" xfId="0" applyNumberFormat="1" applyFont="1" applyFill="1" applyBorder="1" applyAlignment="1">
      <alignment horizontal="right" vertical="center"/>
    </xf>
    <xf numFmtId="2" fontId="0" fillId="8" borderId="1" xfId="0" applyNumberFormat="1" applyFill="1" applyBorder="1" applyAlignment="1">
      <alignment horizontal="right" vertical="center"/>
    </xf>
    <xf numFmtId="4" fontId="14" fillId="9" borderId="1" xfId="0" applyNumberFormat="1" applyFont="1" applyFill="1" applyBorder="1" applyAlignment="1">
      <alignment horizontal="right" vertical="center"/>
    </xf>
    <xf numFmtId="4" fontId="4" fillId="7" borderId="1" xfId="0" applyNumberFormat="1" applyFont="1" applyFill="1" applyBorder="1" applyAlignment="1">
      <alignment horizontal="right" vertical="center"/>
    </xf>
    <xf numFmtId="4" fontId="4" fillId="9" borderId="1" xfId="0" applyNumberFormat="1" applyFont="1" applyFill="1" applyBorder="1" applyAlignment="1">
      <alignment horizontal="right" vertical="center"/>
    </xf>
    <xf numFmtId="2" fontId="0" fillId="9" borderId="1" xfId="0" applyNumberFormat="1" applyFill="1" applyBorder="1" applyAlignment="1">
      <alignment horizontal="right" vertical="center"/>
    </xf>
    <xf numFmtId="2" fontId="0" fillId="7" borderId="1" xfId="0" applyNumberFormat="1" applyFill="1" applyBorder="1" applyAlignment="1">
      <alignment horizontal="right" vertical="center"/>
    </xf>
    <xf numFmtId="2" fontId="0" fillId="5" borderId="1" xfId="0" applyNumberFormat="1" applyFill="1" applyBorder="1" applyAlignment="1">
      <alignment horizontal="right" vertical="center"/>
    </xf>
    <xf numFmtId="2" fontId="0" fillId="6" borderId="1" xfId="0" applyNumberFormat="1" applyFill="1" applyBorder="1" applyAlignment="1">
      <alignment horizontal="right" vertical="center"/>
    </xf>
    <xf numFmtId="0" fontId="3" fillId="10" borderId="1" xfId="0" applyFont="1" applyFill="1" applyBorder="1" applyAlignment="1">
      <alignment horizontal="left" vertical="center" wrapText="1"/>
    </xf>
    <xf numFmtId="4" fontId="16" fillId="10" borderId="1" xfId="0" applyNumberFormat="1" applyFont="1" applyFill="1" applyBorder="1" applyAlignment="1">
      <alignment horizontal="right" vertical="center"/>
    </xf>
    <xf numFmtId="10" fontId="4" fillId="10" borderId="1" xfId="0" applyNumberFormat="1" applyFont="1" applyFill="1" applyBorder="1" applyAlignment="1">
      <alignment horizontal="right" vertical="center"/>
    </xf>
    <xf numFmtId="4" fontId="17" fillId="8" borderId="1" xfId="0" applyNumberFormat="1" applyFont="1" applyFill="1" applyBorder="1" applyAlignment="1">
      <alignment horizontal="right" vertical="center"/>
    </xf>
    <xf numFmtId="0" fontId="0" fillId="0" borderId="2" xfId="0" applyBorder="1"/>
    <xf numFmtId="0" fontId="0" fillId="0" borderId="3" xfId="0" applyBorder="1"/>
    <xf numFmtId="4" fontId="0" fillId="0" borderId="0" xfId="0" applyNumberFormat="1"/>
    <xf numFmtId="0" fontId="0" fillId="0" borderId="0" xfId="0" applyAlignment="1">
      <alignment wrapText="1"/>
    </xf>
    <xf numFmtId="0" fontId="19" fillId="0" borderId="0" xfId="1"/>
    <xf numFmtId="0" fontId="0" fillId="0" borderId="0" xfId="0" applyAlignment="1">
      <alignment horizontal="center"/>
    </xf>
    <xf numFmtId="4" fontId="4" fillId="9" borderId="2" xfId="0" applyNumberFormat="1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13" borderId="0" xfId="0" applyFill="1"/>
    <xf numFmtId="4" fontId="4" fillId="13" borderId="2" xfId="0" applyNumberFormat="1" applyFont="1" applyFill="1" applyBorder="1" applyAlignment="1">
      <alignment horizontal="right" vertical="center"/>
    </xf>
    <xf numFmtId="4" fontId="4" fillId="7" borderId="2" xfId="0" applyNumberFormat="1" applyFont="1" applyFill="1" applyBorder="1" applyAlignment="1">
      <alignment horizontal="right" vertical="center"/>
    </xf>
    <xf numFmtId="2" fontId="0" fillId="7" borderId="2" xfId="0" applyNumberFormat="1" applyFill="1" applyBorder="1" applyAlignment="1">
      <alignment horizontal="right" vertical="center"/>
    </xf>
    <xf numFmtId="0" fontId="0" fillId="12" borderId="0" xfId="0" applyFill="1"/>
    <xf numFmtId="4" fontId="4" fillId="12" borderId="15" xfId="0" applyNumberFormat="1" applyFont="1" applyFill="1" applyBorder="1" applyAlignment="1">
      <alignment horizontal="center" vertical="center" wrapText="1"/>
    </xf>
    <xf numFmtId="4" fontId="10" fillId="8" borderId="15" xfId="0" applyNumberFormat="1" applyFont="1" applyFill="1" applyBorder="1" applyAlignment="1">
      <alignment horizontal="right" vertical="center"/>
    </xf>
    <xf numFmtId="4" fontId="4" fillId="15" borderId="15" xfId="0" applyNumberFormat="1" applyFont="1" applyFill="1" applyBorder="1" applyAlignment="1">
      <alignment horizontal="center" vertical="center" wrapText="1"/>
    </xf>
    <xf numFmtId="4" fontId="10" fillId="15" borderId="15" xfId="0" applyNumberFormat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 wrapText="1"/>
    </xf>
    <xf numFmtId="4" fontId="22" fillId="16" borderId="15" xfId="0" applyNumberFormat="1" applyFont="1" applyFill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left" vertical="center" wrapText="1"/>
    </xf>
    <xf numFmtId="4" fontId="10" fillId="15" borderId="15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 wrapText="1"/>
    </xf>
    <xf numFmtId="0" fontId="0" fillId="0" borderId="15" xfId="0" applyBorder="1"/>
    <xf numFmtId="0" fontId="4" fillId="13" borderId="1" xfId="0" applyFont="1" applyFill="1" applyBorder="1" applyAlignment="1">
      <alignment horizontal="left" vertical="center" wrapText="1"/>
    </xf>
    <xf numFmtId="0" fontId="4" fillId="13" borderId="0" xfId="0" applyFont="1" applyFill="1" applyAlignment="1">
      <alignment horizontal="left" vertical="center" wrapText="1"/>
    </xf>
    <xf numFmtId="0" fontId="9" fillId="9" borderId="0" xfId="0" applyFont="1" applyFill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0" fontId="4" fillId="5" borderId="0" xfId="0" applyFont="1" applyFill="1" applyAlignment="1">
      <alignment horizontal="left" vertical="center" wrapText="1"/>
    </xf>
    <xf numFmtId="4" fontId="10" fillId="5" borderId="0" xfId="0" applyNumberFormat="1" applyFont="1" applyFill="1" applyAlignment="1">
      <alignment horizontal="right" vertical="center"/>
    </xf>
    <xf numFmtId="10" fontId="4" fillId="5" borderId="0" xfId="0" applyNumberFormat="1" applyFont="1" applyFill="1" applyAlignment="1">
      <alignment horizontal="right" vertical="center"/>
    </xf>
    <xf numFmtId="10" fontId="5" fillId="5" borderId="14" xfId="0" applyNumberFormat="1" applyFont="1" applyFill="1" applyBorder="1" applyAlignment="1">
      <alignment horizontal="right" vertical="center"/>
    </xf>
    <xf numFmtId="0" fontId="4" fillId="5" borderId="14" xfId="0" applyFont="1" applyFill="1" applyBorder="1" applyAlignment="1">
      <alignment horizontal="left" vertical="center" wrapText="1"/>
    </xf>
    <xf numFmtId="2" fontId="0" fillId="0" borderId="0" xfId="0" applyNumberFormat="1"/>
    <xf numFmtId="0" fontId="0" fillId="12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9" borderId="2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right" vertical="center"/>
    </xf>
    <xf numFmtId="2" fontId="0" fillId="9" borderId="2" xfId="0" applyNumberFormat="1" applyFill="1" applyBorder="1" applyAlignment="1">
      <alignment horizontal="right" vertical="center"/>
    </xf>
    <xf numFmtId="0" fontId="4" fillId="9" borderId="2" xfId="0" applyFont="1" applyFill="1" applyBorder="1" applyAlignment="1">
      <alignment horizontal="right" vertical="center"/>
    </xf>
    <xf numFmtId="0" fontId="0" fillId="14" borderId="0" xfId="0" applyFill="1" applyAlignment="1">
      <alignment horizontal="center"/>
    </xf>
    <xf numFmtId="0" fontId="0" fillId="18" borderId="0" xfId="0" applyFill="1"/>
    <xf numFmtId="0" fontId="28" fillId="18" borderId="1" xfId="0" applyFont="1" applyFill="1" applyBorder="1" applyAlignment="1">
      <alignment horizontal="left" vertical="center" wrapText="1"/>
    </xf>
    <xf numFmtId="2" fontId="0" fillId="12" borderId="0" xfId="0" applyNumberFormat="1" applyFill="1" applyAlignment="1">
      <alignment horizontal="center"/>
    </xf>
    <xf numFmtId="4" fontId="0" fillId="18" borderId="0" xfId="0" applyNumberFormat="1" applyFill="1"/>
    <xf numFmtId="4" fontId="0" fillId="18" borderId="15" xfId="0" applyNumberFormat="1" applyFill="1" applyBorder="1"/>
    <xf numFmtId="10" fontId="0" fillId="18" borderId="0" xfId="0" applyNumberFormat="1" applyFill="1"/>
    <xf numFmtId="2" fontId="0" fillId="18" borderId="0" xfId="0" applyNumberFormat="1" applyFill="1"/>
    <xf numFmtId="0" fontId="0" fillId="19" borderId="0" xfId="0" applyFill="1"/>
    <xf numFmtId="0" fontId="0" fillId="20" borderId="0" xfId="0" applyFill="1"/>
    <xf numFmtId="4" fontId="0" fillId="20" borderId="0" xfId="0" applyNumberFormat="1" applyFill="1"/>
    <xf numFmtId="10" fontId="0" fillId="20" borderId="0" xfId="0" applyNumberFormat="1" applyFill="1"/>
    <xf numFmtId="0" fontId="27" fillId="18" borderId="0" xfId="0" applyFont="1" applyFill="1"/>
    <xf numFmtId="0" fontId="0" fillId="21" borderId="0" xfId="0" applyFill="1"/>
    <xf numFmtId="0" fontId="4" fillId="12" borderId="1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left" vertical="center" wrapText="1"/>
    </xf>
    <xf numFmtId="0" fontId="4" fillId="18" borderId="6" xfId="0" applyFont="1" applyFill="1" applyBorder="1" applyAlignment="1">
      <alignment horizontal="left" vertical="center" wrapText="1"/>
    </xf>
    <xf numFmtId="0" fontId="31" fillId="14" borderId="0" xfId="0" applyFont="1" applyFill="1" applyAlignment="1">
      <alignment horizontal="center"/>
    </xf>
    <xf numFmtId="4" fontId="31" fillId="14" borderId="0" xfId="0" applyNumberFormat="1" applyFont="1" applyFill="1" applyAlignment="1">
      <alignment horizontal="center"/>
    </xf>
    <xf numFmtId="0" fontId="4" fillId="9" borderId="0" xfId="0" applyFont="1" applyFill="1" applyAlignment="1">
      <alignment horizontal="left" vertical="center" wrapText="1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2" fillId="16" borderId="15" xfId="0" applyFont="1" applyFill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4" fontId="22" fillId="16" borderId="15" xfId="0" applyNumberFormat="1" applyFont="1" applyFill="1" applyBorder="1" applyAlignment="1">
      <alignment vertical="center" wrapText="1"/>
    </xf>
    <xf numFmtId="2" fontId="31" fillId="14" borderId="0" xfId="0" applyNumberFormat="1" applyFont="1" applyFill="1" applyAlignment="1">
      <alignment horizontal="center"/>
    </xf>
    <xf numFmtId="2" fontId="0" fillId="0" borderId="2" xfId="0" applyNumberFormat="1" applyBorder="1"/>
    <xf numFmtId="0" fontId="20" fillId="14" borderId="15" xfId="0" applyFont="1" applyFill="1" applyBorder="1" applyAlignment="1">
      <alignment vertical="center" wrapText="1"/>
    </xf>
    <xf numFmtId="0" fontId="23" fillId="16" borderId="18" xfId="0" applyFont="1" applyFill="1" applyBorder="1" applyAlignment="1">
      <alignment vertical="center" wrapText="1"/>
    </xf>
    <xf numFmtId="4" fontId="0" fillId="21" borderId="0" xfId="0" applyNumberFormat="1" applyFill="1"/>
    <xf numFmtId="0" fontId="0" fillId="12" borderId="15" xfId="0" applyFill="1" applyBorder="1" applyAlignment="1">
      <alignment horizontal="center"/>
    </xf>
    <xf numFmtId="0" fontId="4" fillId="5" borderId="6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10" fontId="10" fillId="5" borderId="1" xfId="0" applyNumberFormat="1" applyFont="1" applyFill="1" applyBorder="1" applyAlignment="1">
      <alignment horizontal="right"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14" borderId="0" xfId="0" applyFill="1"/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right" vertical="center"/>
    </xf>
    <xf numFmtId="0" fontId="4" fillId="5" borderId="1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6" fillId="12" borderId="11" xfId="0" applyFont="1" applyFill="1" applyBorder="1" applyAlignment="1">
      <alignment horizontal="center" vertical="center" wrapText="1"/>
    </xf>
    <xf numFmtId="0" fontId="26" fillId="12" borderId="12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23" fillId="8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14" borderId="15" xfId="0" applyFont="1" applyFill="1" applyBorder="1" applyAlignment="1">
      <alignment horizontal="center" vertical="center" wrapText="1"/>
    </xf>
    <xf numFmtId="0" fontId="3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2" fillId="16" borderId="18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 wrapText="1"/>
    </xf>
    <xf numFmtId="0" fontId="4" fillId="15" borderId="15" xfId="0" applyFont="1" applyFill="1" applyBorder="1" applyAlignment="1">
      <alignment horizontal="center" vertical="center" wrapText="1"/>
    </xf>
    <xf numFmtId="0" fontId="0" fillId="15" borderId="15" xfId="0" applyFill="1" applyBorder="1" applyAlignment="1">
      <alignment horizontal="center"/>
    </xf>
    <xf numFmtId="0" fontId="2" fillId="3" borderId="15" xfId="0" applyFont="1" applyFill="1" applyBorder="1" applyAlignment="1">
      <alignment horizontal="center" vertical="center" wrapText="1"/>
    </xf>
    <xf numFmtId="0" fontId="0" fillId="0" borderId="15" xfId="0" applyBorder="1"/>
    <xf numFmtId="0" fontId="3" fillId="16" borderId="15" xfId="0" applyFont="1" applyFill="1" applyBorder="1" applyAlignment="1">
      <alignment horizontal="center" vertical="center" wrapText="1"/>
    </xf>
    <xf numFmtId="0" fontId="22" fillId="16" borderId="15" xfId="0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 vertical="center" wrapText="1"/>
    </xf>
    <xf numFmtId="0" fontId="4" fillId="16" borderId="16" xfId="0" applyFont="1" applyFill="1" applyBorder="1" applyAlignment="1">
      <alignment horizontal="center" vertical="center" wrapText="1"/>
    </xf>
    <xf numFmtId="0" fontId="23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center" vertical="center" wrapText="1"/>
    </xf>
    <xf numFmtId="0" fontId="23" fillId="8" borderId="15" xfId="0" applyFont="1" applyFill="1" applyBorder="1" applyAlignment="1">
      <alignment horizontal="center" vertical="center" wrapText="1"/>
    </xf>
    <xf numFmtId="0" fontId="4" fillId="15" borderId="16" xfId="0" applyFont="1" applyFill="1" applyBorder="1" applyAlignment="1">
      <alignment horizontal="center" vertical="center" wrapText="1"/>
    </xf>
    <xf numFmtId="0" fontId="4" fillId="15" borderId="17" xfId="0" applyFont="1" applyFill="1" applyBorder="1" applyAlignment="1">
      <alignment horizontal="center" vertical="center" wrapText="1"/>
    </xf>
    <xf numFmtId="0" fontId="4" fillId="15" borderId="18" xfId="0" applyFont="1" applyFill="1" applyBorder="1" applyAlignment="1">
      <alignment horizontal="center" vertical="center" wrapText="1"/>
    </xf>
    <xf numFmtId="0" fontId="23" fillId="16" borderId="16" xfId="0" applyFont="1" applyFill="1" applyBorder="1" applyAlignment="1">
      <alignment horizontal="center" vertical="center" wrapText="1"/>
    </xf>
    <xf numFmtId="0" fontId="0" fillId="12" borderId="1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24" fillId="3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23" fillId="8" borderId="9" xfId="0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0" fillId="0" borderId="0" xfId="0"/>
    <xf numFmtId="0" fontId="2" fillId="4" borderId="1" xfId="0" applyFont="1" applyFill="1" applyBorder="1" applyAlignment="1">
      <alignment horizontal="center" vertical="center" wrapText="1"/>
    </xf>
    <xf numFmtId="0" fontId="3" fillId="9" borderId="14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left" vertical="center" wrapText="1"/>
    </xf>
    <xf numFmtId="0" fontId="26" fillId="12" borderId="9" xfId="0" applyFont="1" applyFill="1" applyBorder="1" applyAlignment="1">
      <alignment horizontal="center" vertical="center" wrapText="1"/>
    </xf>
    <xf numFmtId="0" fontId="26" fillId="12" borderId="10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3" fillId="9" borderId="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15" borderId="15" xfId="0" applyFont="1" applyFill="1" applyBorder="1" applyAlignment="1">
      <alignment horizontal="left" vertical="center" wrapText="1"/>
    </xf>
    <xf numFmtId="0" fontId="0" fillId="15" borderId="15" xfId="0" applyFill="1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left" vertical="center" wrapText="1"/>
    </xf>
    <xf numFmtId="0" fontId="30" fillId="21" borderId="14" xfId="0" applyFont="1" applyFill="1" applyBorder="1" applyAlignment="1">
      <alignment horizontal="center"/>
    </xf>
    <xf numFmtId="0" fontId="32" fillId="22" borderId="2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0" fillId="14" borderId="0" xfId="0" applyFill="1" applyAlignment="1">
      <alignment horizontal="center"/>
    </xf>
    <xf numFmtId="0" fontId="6" fillId="7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5" fillId="1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4" fontId="0" fillId="21" borderId="0" xfId="0" applyNumberFormat="1" applyFill="1" applyAlignment="1">
      <alignment horizont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9" fillId="21" borderId="2" xfId="0" applyFont="1" applyFill="1" applyBorder="1" applyAlignment="1">
      <alignment horizontal="center"/>
    </xf>
    <xf numFmtId="0" fontId="29" fillId="21" borderId="3" xfId="0" applyFont="1" applyFill="1" applyBorder="1" applyAlignment="1">
      <alignment horizontal="center"/>
    </xf>
    <xf numFmtId="0" fontId="20" fillId="14" borderId="9" xfId="0" applyFont="1" applyFill="1" applyBorder="1" applyAlignment="1">
      <alignment horizontal="center" vertical="center" wrapText="1"/>
    </xf>
    <xf numFmtId="0" fontId="20" fillId="14" borderId="0" xfId="0" applyFont="1" applyFill="1" applyAlignment="1">
      <alignment horizontal="center" vertical="center" wrapText="1"/>
    </xf>
    <xf numFmtId="0" fontId="0" fillId="23" borderId="0" xfId="0" applyFill="1" applyAlignment="1">
      <alignment horizontal="center"/>
    </xf>
    <xf numFmtId="0" fontId="2" fillId="4" borderId="3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6" borderId="10" xfId="0" applyFont="1" applyFill="1" applyBorder="1" applyAlignment="1">
      <alignment horizontal="left" vertical="center" wrapText="1"/>
    </xf>
    <xf numFmtId="0" fontId="4" fillId="5" borderId="11" xfId="0" applyFont="1" applyFill="1" applyBorder="1" applyAlignment="1">
      <alignment horizontal="left" vertical="center" wrapText="1"/>
    </xf>
    <xf numFmtId="0" fontId="4" fillId="5" borderId="12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1" fillId="14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18" fillId="5" borderId="1" xfId="0" applyFont="1" applyFill="1" applyBorder="1" applyAlignment="1">
      <alignment horizontal="center" vertical="center" wrapText="1"/>
    </xf>
    <xf numFmtId="0" fontId="0" fillId="0" borderId="14" xfId="0" applyBorder="1"/>
    <xf numFmtId="10" fontId="0" fillId="23" borderId="9" xfId="0" applyNumberFormat="1" applyFill="1" applyBorder="1" applyAlignment="1">
      <alignment horizontal="center"/>
    </xf>
    <xf numFmtId="10" fontId="0" fillId="2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b/>
        <color rgb="FFFFFFFF"/>
      </font>
      <fill>
        <patternFill patternType="solid">
          <fgColor rgb="FFFF0000"/>
        </patternFill>
      </fill>
    </dxf>
    <dxf>
      <font>
        <b/>
        <color rgb="FFFFFFFF"/>
      </font>
      <fill>
        <patternFill patternType="solid">
          <fgColor rgb="FF70AD47"/>
        </patternFill>
      </fill>
    </dxf>
    <dxf>
      <font>
        <b/>
        <color rgb="FFFFFFFF"/>
      </font>
      <fill>
        <patternFill patternType="solid">
          <fgColor rgb="FF70AD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182880</xdr:colOff>
      <xdr:row>2</xdr:row>
      <xdr:rowOff>99060</xdr:rowOff>
    </xdr:from>
    <xdr:to>
      <xdr:col>20</xdr:col>
      <xdr:colOff>183355</xdr:colOff>
      <xdr:row>13</xdr:row>
      <xdr:rowOff>53510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9783DA-9A0A-342F-7DFE-CF1A86FBF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8480" y="464820"/>
          <a:ext cx="5486875" cy="1966130"/>
        </a:xfrm>
        <a:prstGeom prst="rect">
          <a:avLst/>
        </a:prstGeom>
      </xdr:spPr>
    </xdr:pic>
    <xdr:clientData/>
  </xdr:twoCellAnchor>
  <xdr:twoCellAnchor editAs="oneCell">
    <xdr:from>
      <xdr:col>20</xdr:col>
      <xdr:colOff>396240</xdr:colOff>
      <xdr:row>1</xdr:row>
      <xdr:rowOff>83820</xdr:rowOff>
    </xdr:from>
    <xdr:to>
      <xdr:col>31</xdr:col>
      <xdr:colOff>450166</xdr:colOff>
      <xdr:row>16</xdr:row>
      <xdr:rowOff>129782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3C859C-55F1-9F2E-0D38-87327B00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8240" y="266700"/>
          <a:ext cx="6759526" cy="2789162"/>
        </a:xfrm>
        <a:prstGeom prst="rect">
          <a:avLst/>
        </a:prstGeom>
      </xdr:spPr>
    </xdr:pic>
    <xdr:clientData/>
  </xdr:twoCellAnchor>
  <xdr:twoCellAnchor editAs="oneCell">
    <xdr:from>
      <xdr:col>20</xdr:col>
      <xdr:colOff>396240</xdr:colOff>
      <xdr:row>1</xdr:row>
      <xdr:rowOff>83820</xdr:rowOff>
    </xdr:from>
    <xdr:to>
      <xdr:col>26</xdr:col>
      <xdr:colOff>457522</xdr:colOff>
      <xdr:row>4</xdr:row>
      <xdr:rowOff>30523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58978D-525E-A79B-A492-33DDDF15B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588240" y="266700"/>
          <a:ext cx="3718882" cy="495343"/>
        </a:xfrm>
        <a:prstGeom prst="rect">
          <a:avLst/>
        </a:prstGeom>
      </xdr:spPr>
    </xdr:pic>
    <xdr:clientData/>
  </xdr:twoCellAnchor>
  <xdr:twoCellAnchor editAs="oneCell">
    <xdr:from>
      <xdr:col>20</xdr:col>
      <xdr:colOff>548640</xdr:colOff>
      <xdr:row>2</xdr:row>
      <xdr:rowOff>53340</xdr:rowOff>
    </xdr:from>
    <xdr:to>
      <xdr:col>27</xdr:col>
      <xdr:colOff>322</xdr:colOff>
      <xdr:row>5</xdr:row>
      <xdr:rowOff>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D579C0-A220-0597-E83F-6A66CD7D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40640" y="419100"/>
          <a:ext cx="3718882" cy="495343"/>
        </a:xfrm>
        <a:prstGeom prst="rect">
          <a:avLst/>
        </a:prstGeom>
      </xdr:spPr>
    </xdr:pic>
    <xdr:clientData/>
  </xdr:twoCellAnchor>
  <xdr:twoCellAnchor editAs="oneCell">
    <xdr:from>
      <xdr:col>11</xdr:col>
      <xdr:colOff>99060</xdr:colOff>
      <xdr:row>19</xdr:row>
      <xdr:rowOff>137160</xdr:rowOff>
    </xdr:from>
    <xdr:to>
      <xdr:col>20</xdr:col>
      <xdr:colOff>533913</xdr:colOff>
      <xdr:row>31</xdr:row>
      <xdr:rowOff>178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3A2A28B-6774-E699-2CAF-48DDA31C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3611880"/>
          <a:ext cx="5921253" cy="2057578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114300</xdr:colOff>
      <xdr:row>32</xdr:row>
      <xdr:rowOff>68580</xdr:rowOff>
    </xdr:from>
    <xdr:to>
      <xdr:col>16</xdr:col>
      <xdr:colOff>251736</xdr:colOff>
      <xdr:row>38</xdr:row>
      <xdr:rowOff>22951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E9B8DAA-9065-D3D6-D46E-DD853578E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19900" y="5920740"/>
          <a:ext cx="3185436" cy="105165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3s-conferences.org/articles/e3sconf/pdf/2016/03/e3sconf_mec2016_0102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3A5C"/>
  </sheetPr>
  <dimension ref="A1:DA122"/>
  <sheetViews>
    <sheetView showGridLines="0" tabSelected="1" zoomScale="82" zoomScaleNormal="100" workbookViewId="0">
      <pane ySplit="4" topLeftCell="A5" activePane="bottomLeft" state="frozen"/>
      <selection pane="bottomLeft" activeCell="H34" sqref="H34"/>
    </sheetView>
  </sheetViews>
  <sheetFormatPr defaultRowHeight="14.4" x14ac:dyDescent="0.3"/>
  <cols>
    <col min="1" max="1" width="8" customWidth="1"/>
    <col min="2" max="2" width="35" customWidth="1"/>
    <col min="3" max="4" width="14" customWidth="1"/>
    <col min="5" max="5" width="13" customWidth="1"/>
    <col min="6" max="6" width="38" customWidth="1"/>
    <col min="7" max="7" width="5" customWidth="1"/>
    <col min="8" max="9" width="14" customWidth="1"/>
    <col min="10" max="10" width="28" customWidth="1"/>
  </cols>
  <sheetData>
    <row r="1" spans="1:10" ht="30" customHeight="1" x14ac:dyDescent="0.3">
      <c r="A1" s="189" t="s">
        <v>0</v>
      </c>
      <c r="B1" s="177"/>
      <c r="C1" s="177"/>
      <c r="D1" s="177"/>
      <c r="E1" s="177"/>
      <c r="F1" s="177"/>
      <c r="G1" s="177"/>
      <c r="H1" s="177"/>
      <c r="I1" s="177"/>
      <c r="J1" s="178"/>
    </row>
    <row r="2" spans="1:10" x14ac:dyDescent="0.3">
      <c r="A2" s="176" t="s">
        <v>324</v>
      </c>
      <c r="B2" s="177"/>
      <c r="C2" s="177"/>
      <c r="D2" s="177"/>
      <c r="E2" s="177"/>
      <c r="F2" s="177"/>
      <c r="G2" s="177"/>
      <c r="H2" s="177"/>
      <c r="I2" s="177"/>
      <c r="J2" s="178"/>
    </row>
    <row r="3" spans="1:10" ht="25.8" x14ac:dyDescent="0.5">
      <c r="A3" s="210" t="s">
        <v>396</v>
      </c>
      <c r="B3" s="210"/>
      <c r="C3" s="210"/>
      <c r="D3" s="210"/>
      <c r="E3" s="210"/>
      <c r="F3" s="210"/>
      <c r="G3" s="210"/>
      <c r="H3" s="210"/>
      <c r="I3" s="211">
        <v>1</v>
      </c>
      <c r="J3" s="211"/>
    </row>
    <row r="4" spans="1:10" ht="22.05" customHeight="1" x14ac:dyDescent="0.3">
      <c r="A4" s="179" t="s">
        <v>1</v>
      </c>
      <c r="B4" s="177"/>
      <c r="C4" s="177"/>
      <c r="D4" s="178"/>
      <c r="F4" s="179" t="s">
        <v>532</v>
      </c>
      <c r="G4" s="177"/>
      <c r="H4" s="177"/>
      <c r="I4" s="177"/>
      <c r="J4" s="178"/>
    </row>
    <row r="5" spans="1:10" x14ac:dyDescent="0.3">
      <c r="A5" s="183" t="s">
        <v>2</v>
      </c>
      <c r="B5" s="178"/>
      <c r="C5" s="1" t="s">
        <v>3</v>
      </c>
      <c r="D5" s="1" t="s">
        <v>4</v>
      </c>
      <c r="F5" s="183" t="s">
        <v>5</v>
      </c>
      <c r="G5" s="178"/>
      <c r="H5" s="1" t="s">
        <v>6</v>
      </c>
      <c r="I5" s="1" t="s">
        <v>4</v>
      </c>
      <c r="J5" s="1" t="s">
        <v>7</v>
      </c>
    </row>
    <row r="6" spans="1:10" x14ac:dyDescent="0.3">
      <c r="A6" s="216" t="s">
        <v>8</v>
      </c>
      <c r="B6" s="178"/>
      <c r="C6" s="3">
        <v>150</v>
      </c>
      <c r="D6" s="4" t="s">
        <v>9</v>
      </c>
      <c r="F6" s="194" t="s">
        <v>10</v>
      </c>
      <c r="G6" s="178"/>
      <c r="H6" s="1" t="s">
        <v>11</v>
      </c>
      <c r="I6" s="1" t="s">
        <v>12</v>
      </c>
      <c r="J6" s="1" t="s">
        <v>13</v>
      </c>
    </row>
    <row r="7" spans="1:10" x14ac:dyDescent="0.3">
      <c r="A7" s="182" t="s">
        <v>14</v>
      </c>
      <c r="B7" s="178"/>
      <c r="C7" s="7">
        <v>0.2</v>
      </c>
      <c r="D7" s="6" t="s">
        <v>15</v>
      </c>
      <c r="F7" s="203" t="s">
        <v>589</v>
      </c>
      <c r="G7" s="178"/>
      <c r="H7" s="8">
        <v>35</v>
      </c>
      <c r="I7" s="9">
        <f>IF(H11=0,0,H7/H11)</f>
        <v>5.7330057330057332E-2</v>
      </c>
      <c r="J7" s="4" t="s">
        <v>16</v>
      </c>
    </row>
    <row r="8" spans="1:10" x14ac:dyDescent="0.3">
      <c r="A8" s="196" t="s">
        <v>17</v>
      </c>
      <c r="B8" s="178"/>
      <c r="C8" s="11">
        <f>C6*(1-C7)</f>
        <v>120</v>
      </c>
      <c r="D8" s="10" t="s">
        <v>18</v>
      </c>
      <c r="F8" s="203" t="s">
        <v>590</v>
      </c>
      <c r="G8" s="178"/>
      <c r="H8" s="8">
        <v>500</v>
      </c>
      <c r="I8" s="9">
        <f>IF(H11=0,0,H8/H11)</f>
        <v>0.819000819000819</v>
      </c>
      <c r="J8" s="4" t="s">
        <v>19</v>
      </c>
    </row>
    <row r="9" spans="1:10" ht="26.4" x14ac:dyDescent="0.3">
      <c r="A9" s="194" t="s">
        <v>20</v>
      </c>
      <c r="B9" s="177"/>
      <c r="C9" s="178"/>
      <c r="D9" s="12" t="s">
        <v>21</v>
      </c>
      <c r="F9" s="203" t="s">
        <v>591</v>
      </c>
      <c r="G9" s="178"/>
      <c r="H9" s="8">
        <v>75</v>
      </c>
      <c r="I9" s="9">
        <f>IF(H11=0,0,H9/H11)</f>
        <v>0.12285012285012285</v>
      </c>
      <c r="J9" s="4" t="s">
        <v>22</v>
      </c>
    </row>
    <row r="10" spans="1:10" x14ac:dyDescent="0.3">
      <c r="A10" s="190" t="s">
        <v>23</v>
      </c>
      <c r="B10" s="150"/>
      <c r="C10" s="13">
        <v>0.54549914598464966</v>
      </c>
      <c r="D10" s="4" t="s">
        <v>24</v>
      </c>
      <c r="F10" s="203" t="s">
        <v>592</v>
      </c>
      <c r="G10" s="178"/>
      <c r="H10" s="8">
        <v>0.5</v>
      </c>
      <c r="I10" s="9">
        <f>IF(H11=0,0,H10/H11)</f>
        <v>8.1900081900081905E-4</v>
      </c>
      <c r="J10" s="4" t="s">
        <v>25</v>
      </c>
    </row>
    <row r="11" spans="1:10" x14ac:dyDescent="0.3">
      <c r="A11" s="190" t="s">
        <v>328</v>
      </c>
      <c r="B11" s="150"/>
      <c r="C11" s="13">
        <v>6.0107001662254335E-2</v>
      </c>
      <c r="D11" s="4" t="s">
        <v>24</v>
      </c>
      <c r="F11" s="194" t="s">
        <v>26</v>
      </c>
      <c r="G11" s="178"/>
      <c r="H11" s="14">
        <f>SUM(H7:H10)</f>
        <v>610.5</v>
      </c>
      <c r="I11" s="15" t="s">
        <v>27</v>
      </c>
    </row>
    <row r="12" spans="1:10" x14ac:dyDescent="0.3">
      <c r="A12" s="180" t="s">
        <v>28</v>
      </c>
      <c r="B12" s="150"/>
      <c r="C12" s="7">
        <v>0.13930059969425201</v>
      </c>
      <c r="D12" s="6" t="s">
        <v>24</v>
      </c>
    </row>
    <row r="13" spans="1:10" x14ac:dyDescent="0.3">
      <c r="A13" s="180" t="s">
        <v>29</v>
      </c>
      <c r="B13" s="150"/>
      <c r="C13" s="7">
        <v>7.4804830551147457E-3</v>
      </c>
      <c r="D13" s="6" t="s">
        <v>24</v>
      </c>
      <c r="F13" s="184" t="s">
        <v>30</v>
      </c>
      <c r="G13" s="178"/>
      <c r="H13" s="1" t="s">
        <v>11</v>
      </c>
      <c r="I13" s="1" t="s">
        <v>594</v>
      </c>
      <c r="J13" s="1" t="s">
        <v>31</v>
      </c>
    </row>
    <row r="14" spans="1:10" x14ac:dyDescent="0.3">
      <c r="A14" s="180" t="s">
        <v>32</v>
      </c>
      <c r="B14" s="150"/>
      <c r="C14" s="7">
        <v>9.7767995297908788E-3</v>
      </c>
      <c r="D14" s="6" t="s">
        <v>24</v>
      </c>
      <c r="F14" s="192" t="s">
        <v>593</v>
      </c>
      <c r="G14" s="178"/>
      <c r="H14" s="17">
        <f>C6</f>
        <v>150</v>
      </c>
      <c r="I14" s="139">
        <f>H7*H14</f>
        <v>5250</v>
      </c>
      <c r="J14" s="16" t="s">
        <v>33</v>
      </c>
    </row>
    <row r="15" spans="1:10" x14ac:dyDescent="0.3">
      <c r="A15" s="180" t="s">
        <v>34</v>
      </c>
      <c r="B15" s="150"/>
      <c r="C15" s="7">
        <v>7.9916569590568545E-3</v>
      </c>
      <c r="D15" s="6" t="s">
        <v>24</v>
      </c>
      <c r="F15" s="181" t="s">
        <v>62</v>
      </c>
      <c r="G15" s="178"/>
      <c r="H15" s="17">
        <f ca="1">H38</f>
        <v>5.6699774068149793</v>
      </c>
      <c r="I15" s="47">
        <f ca="1">H8*H15</f>
        <v>2834.9887034074895</v>
      </c>
      <c r="J15" s="16" t="s">
        <v>36</v>
      </c>
    </row>
    <row r="16" spans="1:10" x14ac:dyDescent="0.3">
      <c r="A16" s="180" t="s">
        <v>37</v>
      </c>
      <c r="B16" s="150"/>
      <c r="C16" s="7">
        <v>2.9210994780063627E-3</v>
      </c>
      <c r="D16" s="6" t="s">
        <v>24</v>
      </c>
      <c r="F16" s="144" t="s">
        <v>587</v>
      </c>
      <c r="G16" s="145"/>
      <c r="H16" s="17">
        <f ca="1">H42</f>
        <v>8.0713426165471311</v>
      </c>
      <c r="I16" s="47">
        <f ca="1">H9*H16</f>
        <v>605.35069624103483</v>
      </c>
      <c r="J16" s="16" t="s">
        <v>38</v>
      </c>
    </row>
    <row r="17" spans="1:10" x14ac:dyDescent="0.3">
      <c r="A17" s="180" t="s">
        <v>39</v>
      </c>
      <c r="B17" s="150"/>
      <c r="C17" s="7">
        <v>2.4463409185409546E-3</v>
      </c>
      <c r="D17" s="6" t="s">
        <v>24</v>
      </c>
      <c r="F17" s="184" t="s">
        <v>596</v>
      </c>
      <c r="G17" s="178"/>
      <c r="H17" s="14">
        <f ca="1">H46</f>
        <v>85.24831273554139</v>
      </c>
      <c r="I17">
        <f ca="1">H10*H17</f>
        <v>42.624156367770695</v>
      </c>
    </row>
    <row r="18" spans="1:10" ht="22.05" customHeight="1" x14ac:dyDescent="0.3">
      <c r="A18" s="180" t="s">
        <v>40</v>
      </c>
      <c r="B18" s="150"/>
      <c r="C18" s="7">
        <v>6.2720223665237423E-4</v>
      </c>
      <c r="D18" s="6" t="s">
        <v>24</v>
      </c>
      <c r="F18" s="179"/>
      <c r="G18" s="177"/>
      <c r="H18" s="177"/>
      <c r="I18" s="177"/>
      <c r="J18" s="178"/>
    </row>
    <row r="19" spans="1:10" ht="15.6" x14ac:dyDescent="0.3">
      <c r="A19" s="192" t="s">
        <v>41</v>
      </c>
      <c r="B19" s="193"/>
      <c r="C19" s="18">
        <v>0.22384967048168192</v>
      </c>
      <c r="D19" s="16" t="s">
        <v>24</v>
      </c>
      <c r="F19" s="191" t="s">
        <v>42</v>
      </c>
      <c r="G19" s="178"/>
      <c r="H19" s="19">
        <f ca="1">H11-H17</f>
        <v>525.25168726445861</v>
      </c>
      <c r="I19" s="20" t="str">
        <f ca="1">IF(ABS(H19)&lt;0.01,"✔ BALANCED","✘ CHECK")</f>
        <v>✘ CHECK</v>
      </c>
    </row>
    <row r="20" spans="1:10" x14ac:dyDescent="0.3">
      <c r="A20" s="202" t="s">
        <v>43</v>
      </c>
      <c r="B20" s="178"/>
      <c r="C20" s="22">
        <f>SUM(C10:C19)</f>
        <v>1</v>
      </c>
      <c r="D20" s="82" t="str">
        <f>IF(C20=100%,"✔","✘ CHECK COMPOSITION")</f>
        <v>✔</v>
      </c>
    </row>
    <row r="21" spans="1:10" ht="21.6" customHeight="1" x14ac:dyDescent="0.3">
      <c r="A21" s="195" t="s">
        <v>330</v>
      </c>
      <c r="B21" s="195"/>
      <c r="C21" s="84">
        <f>(C10/(C11))</f>
        <v>9.0754675977658898</v>
      </c>
      <c r="D21" s="83" t="str">
        <f>IF(C21&gt;=8,"✔SUFFICIENT","✘ INSUFFICIENT COMPOSITION")</f>
        <v>✔SUFFICIENT</v>
      </c>
    </row>
    <row r="23" spans="1:10" ht="22.05" customHeight="1" x14ac:dyDescent="0.3">
      <c r="A23" s="179" t="s">
        <v>44</v>
      </c>
      <c r="B23" s="177"/>
      <c r="C23" s="177"/>
      <c r="D23" s="178"/>
      <c r="F23" s="179" t="s">
        <v>45</v>
      </c>
      <c r="G23" s="177"/>
      <c r="H23" s="177"/>
      <c r="I23" s="177"/>
      <c r="J23" s="178"/>
    </row>
    <row r="24" spans="1:10" ht="28.8" x14ac:dyDescent="0.3">
      <c r="A24" s="183" t="s">
        <v>2</v>
      </c>
      <c r="B24" s="178"/>
      <c r="C24" s="1" t="s">
        <v>46</v>
      </c>
      <c r="D24" s="1" t="s">
        <v>47</v>
      </c>
      <c r="E24" s="60" t="s">
        <v>297</v>
      </c>
      <c r="F24" s="183" t="s">
        <v>48</v>
      </c>
      <c r="G24" s="178"/>
      <c r="H24" s="1" t="s">
        <v>49</v>
      </c>
      <c r="I24" s="1" t="s">
        <v>50</v>
      </c>
      <c r="J24" s="1" t="s">
        <v>51</v>
      </c>
    </row>
    <row r="25" spans="1:10" x14ac:dyDescent="0.3">
      <c r="A25" s="146" t="s">
        <v>553</v>
      </c>
      <c r="B25" s="147"/>
      <c r="C25" s="1">
        <v>68.703269958496094</v>
      </c>
      <c r="D25" s="1" t="s">
        <v>554</v>
      </c>
      <c r="E25" s="60"/>
      <c r="F25" s="182" t="s">
        <v>535</v>
      </c>
      <c r="G25" s="178"/>
      <c r="H25" s="1">
        <f>'Pre-Desilication_Balance'!E5*Molar_Base_Data!D25/1000*2</f>
        <v>34.643154865435498</v>
      </c>
      <c r="I25" s="1"/>
      <c r="J25" s="1"/>
    </row>
    <row r="26" spans="1:10" ht="39.6" x14ac:dyDescent="0.3">
      <c r="A26" s="146" t="s">
        <v>333</v>
      </c>
      <c r="B26" s="147"/>
      <c r="C26" s="85">
        <v>1.2</v>
      </c>
      <c r="D26" s="4" t="s">
        <v>334</v>
      </c>
      <c r="E26" s="60"/>
      <c r="F26" s="144" t="s">
        <v>536</v>
      </c>
      <c r="G26" s="145"/>
      <c r="H26" s="1">
        <f ca="1">'Pre-Desilication_Balance'!E26*Molar_Base_Data!D25/1000</f>
        <v>9.2877440064306462</v>
      </c>
      <c r="I26" s="1"/>
      <c r="J26" s="1"/>
    </row>
    <row r="27" spans="1:10" ht="26.4" x14ac:dyDescent="0.3">
      <c r="A27" s="197" t="s">
        <v>341</v>
      </c>
      <c r="B27" s="198"/>
      <c r="C27" s="13">
        <v>0.8</v>
      </c>
      <c r="D27" s="4" t="s">
        <v>383</v>
      </c>
      <c r="E27" s="60"/>
      <c r="F27" s="182" t="s">
        <v>53</v>
      </c>
      <c r="G27" s="178"/>
      <c r="H27" s="23">
        <f ca="1">Precipitation_Hydrate!C23</f>
        <v>94.759975306518513</v>
      </c>
      <c r="I27" s="24">
        <f ca="1">H27/C6</f>
        <v>0.63173316871012342</v>
      </c>
      <c r="J27" s="6" t="s">
        <v>54</v>
      </c>
    </row>
    <row r="28" spans="1:10" ht="52.8" x14ac:dyDescent="0.3">
      <c r="A28" s="190" t="s">
        <v>52</v>
      </c>
      <c r="B28" s="150"/>
      <c r="C28" s="13">
        <f>'PROCESS KINETICS '!G7</f>
        <v>0.97237271208507814</v>
      </c>
      <c r="D28" s="4" t="s">
        <v>296</v>
      </c>
      <c r="E28" s="60"/>
      <c r="F28" s="144" t="s">
        <v>538</v>
      </c>
      <c r="G28" s="145"/>
      <c r="H28" s="23">
        <f ca="1">'SPENT LIQUOR CONDITIONING'!E60*Molar_Base_Data!D25/1000</f>
        <v>9.2877440064306462</v>
      </c>
      <c r="I28" s="24"/>
      <c r="J28" s="6"/>
    </row>
    <row r="29" spans="1:10" ht="26.4" x14ac:dyDescent="0.3">
      <c r="A29" s="187" t="s">
        <v>321</v>
      </c>
      <c r="B29" s="188"/>
      <c r="C29" s="13">
        <v>0.05</v>
      </c>
      <c r="D29" s="78" t="s">
        <v>322</v>
      </c>
      <c r="E29" s="60"/>
      <c r="F29" s="144" t="s">
        <v>539</v>
      </c>
      <c r="G29" s="145"/>
      <c r="H29" s="23">
        <f ca="1">(Clarification_RedMud!G49+Digestion_Balance!E32*2+'Pre-Desilication_Balance'!E48*2)*Molar_Base_Data!D25/1000</f>
        <v>5.4669383998269652</v>
      </c>
      <c r="I29" s="24"/>
      <c r="J29" s="6"/>
    </row>
    <row r="30" spans="1:10" x14ac:dyDescent="0.3">
      <c r="A30" s="148" t="s">
        <v>556</v>
      </c>
      <c r="B30" s="149"/>
      <c r="C30" s="85">
        <v>145.02049255371094</v>
      </c>
      <c r="D30" s="4" t="s">
        <v>557</v>
      </c>
      <c r="E30" s="60"/>
      <c r="F30" s="131" t="s">
        <v>581</v>
      </c>
      <c r="G30" s="132"/>
      <c r="H30" s="23">
        <f ca="1">Precipitation_Hydrate!C12</f>
        <v>753.97689686206979</v>
      </c>
      <c r="I30" s="24" t="s">
        <v>571</v>
      </c>
      <c r="J30" s="6"/>
    </row>
    <row r="31" spans="1:10" ht="26.4" x14ac:dyDescent="0.3">
      <c r="A31" s="190" t="s">
        <v>55</v>
      </c>
      <c r="B31" s="150"/>
      <c r="C31" s="3">
        <v>3</v>
      </c>
      <c r="D31" s="4" t="s">
        <v>56</v>
      </c>
      <c r="E31" s="60"/>
      <c r="F31" s="144" t="s">
        <v>537</v>
      </c>
      <c r="G31" s="145"/>
      <c r="H31" s="133">
        <f ca="1">Precipitation_Hydrate!E17*Molar_Base_Data!D25/1000/(H25)</f>
        <v>0.85152490731260511</v>
      </c>
      <c r="I31" s="24"/>
      <c r="J31" s="6"/>
    </row>
    <row r="32" spans="1:10" ht="26.4" x14ac:dyDescent="0.3">
      <c r="A32" s="190" t="s">
        <v>331</v>
      </c>
      <c r="B32" s="150"/>
      <c r="C32" s="3">
        <v>141.44039916992188</v>
      </c>
      <c r="D32" s="4" t="s">
        <v>58</v>
      </c>
      <c r="E32" s="60"/>
      <c r="F32" s="181" t="s">
        <v>35</v>
      </c>
      <c r="G32" s="178"/>
      <c r="H32" s="26">
        <f ca="1">Clarification_RedMud!C38</f>
        <v>64.432064828967583</v>
      </c>
      <c r="I32" s="27">
        <f ca="1">H32/C6</f>
        <v>0.42954709885978387</v>
      </c>
      <c r="J32" s="25" t="s">
        <v>57</v>
      </c>
    </row>
    <row r="33" spans="1:10" ht="26.4" x14ac:dyDescent="0.3">
      <c r="A33" s="187" t="s">
        <v>326</v>
      </c>
      <c r="B33" s="188"/>
      <c r="C33" s="13">
        <v>0.03</v>
      </c>
      <c r="D33" s="4" t="s">
        <v>322</v>
      </c>
      <c r="E33" s="60"/>
      <c r="F33" s="182" t="s">
        <v>59</v>
      </c>
      <c r="G33" s="178"/>
      <c r="H33" s="23">
        <f ca="1">Precipitation_Hydrate!C17</f>
        <v>85.28397777586666</v>
      </c>
      <c r="I33" s="24">
        <f ca="1">H33/C6</f>
        <v>0.56855985183911106</v>
      </c>
      <c r="J33" s="6"/>
    </row>
    <row r="34" spans="1:10" ht="26.4" x14ac:dyDescent="0.3">
      <c r="A34" s="187" t="s">
        <v>327</v>
      </c>
      <c r="B34" s="188"/>
      <c r="C34" s="13">
        <v>0.02</v>
      </c>
      <c r="D34" s="78" t="s">
        <v>322</v>
      </c>
      <c r="F34" s="181" t="s">
        <v>62</v>
      </c>
      <c r="G34" s="178"/>
      <c r="H34" s="26">
        <f ca="1">Digestion_Balance!C53</f>
        <v>47.411439777052635</v>
      </c>
      <c r="I34" s="27">
        <f ca="1">H34/C6</f>
        <v>0.31607626518035092</v>
      </c>
      <c r="J34" s="25" t="s">
        <v>63</v>
      </c>
    </row>
    <row r="35" spans="1:10" x14ac:dyDescent="0.3">
      <c r="A35" s="148" t="s">
        <v>574</v>
      </c>
      <c r="B35" s="149"/>
      <c r="C35" s="85">
        <v>61.088573455810547</v>
      </c>
      <c r="D35" s="4" t="s">
        <v>557</v>
      </c>
      <c r="F35" s="142" t="s">
        <v>540</v>
      </c>
      <c r="G35" s="143"/>
      <c r="H35" s="26">
        <f ca="1">Precipitation_Hydrate!C30</f>
        <v>4.7161401220725425</v>
      </c>
      <c r="I35" s="27"/>
      <c r="J35" s="25"/>
    </row>
    <row r="36" spans="1:10" ht="39.6" x14ac:dyDescent="0.3">
      <c r="A36" s="190" t="s">
        <v>60</v>
      </c>
      <c r="B36" s="150"/>
      <c r="C36" s="13">
        <f ca="1">'PROCESS KINETICS '!I20</f>
        <v>0.77296357360369217</v>
      </c>
      <c r="D36" s="4" t="s">
        <v>61</v>
      </c>
      <c r="F36" s="182" t="s">
        <v>66</v>
      </c>
      <c r="G36" s="178"/>
      <c r="H36" s="23">
        <f ca="1">Precipitation_Hydrate!C18</f>
        <v>43.724439375088565</v>
      </c>
      <c r="I36" s="24">
        <f ca="1">H36/C6</f>
        <v>0.29149626250059041</v>
      </c>
      <c r="J36" s="6" t="s">
        <v>67</v>
      </c>
    </row>
    <row r="37" spans="1:10" ht="39.6" x14ac:dyDescent="0.3">
      <c r="A37" s="180" t="s">
        <v>543</v>
      </c>
      <c r="B37" s="150"/>
      <c r="C37" s="7">
        <v>0.98</v>
      </c>
      <c r="D37" s="6" t="s">
        <v>299</v>
      </c>
      <c r="F37" s="144" t="s">
        <v>534</v>
      </c>
      <c r="G37" s="145"/>
      <c r="H37" s="23">
        <f ca="1">'SPENT LIQUOR CONDITIONING'!C42</f>
        <v>2.2948594201379424</v>
      </c>
      <c r="I37" s="24"/>
      <c r="J37" s="6"/>
    </row>
    <row r="38" spans="1:10" ht="39.6" x14ac:dyDescent="0.3">
      <c r="A38" s="199" t="s">
        <v>355</v>
      </c>
      <c r="B38" s="200"/>
      <c r="C38" s="96">
        <v>2.4677371978759766</v>
      </c>
      <c r="D38" s="6" t="s">
        <v>356</v>
      </c>
      <c r="F38" s="181" t="s">
        <v>595</v>
      </c>
      <c r="G38" s="178"/>
      <c r="H38" s="26">
        <f ca="1">'SPENT LIQUOR CONDITIONING'!C53+Digestion_Balance!C54</f>
        <v>5.6699774068149793</v>
      </c>
      <c r="I38" s="27">
        <f ca="1">H38/C6</f>
        <v>3.7799849378766529E-2</v>
      </c>
      <c r="J38" s="25"/>
    </row>
    <row r="39" spans="1:10" ht="39.6" x14ac:dyDescent="0.3">
      <c r="A39" s="180" t="s">
        <v>68</v>
      </c>
      <c r="B39" s="150"/>
      <c r="C39" s="7">
        <v>0.1</v>
      </c>
      <c r="D39" s="6" t="s">
        <v>69</v>
      </c>
      <c r="F39" s="181" t="s">
        <v>541</v>
      </c>
      <c r="G39" s="178"/>
      <c r="H39" s="23">
        <f ca="1">'Pre-Desilication_Balance'!C47</f>
        <v>8.5387352376357928</v>
      </c>
      <c r="I39" s="24">
        <f ca="1">H39/C6</f>
        <v>5.6924901584238616E-2</v>
      </c>
      <c r="J39" s="6" t="s">
        <v>72</v>
      </c>
    </row>
    <row r="40" spans="1:10" ht="26.4" x14ac:dyDescent="0.3">
      <c r="A40" s="199" t="s">
        <v>360</v>
      </c>
      <c r="B40" s="200"/>
      <c r="C40" s="7">
        <v>0.1</v>
      </c>
      <c r="D40" s="6" t="s">
        <v>361</v>
      </c>
      <c r="F40" s="142" t="s">
        <v>542</v>
      </c>
      <c r="G40" s="143"/>
      <c r="H40" s="87">
        <f ca="1">Clarification_RedMud!C51</f>
        <v>8.5387352376357986E-3</v>
      </c>
      <c r="I40" s="88"/>
      <c r="J40" s="86"/>
    </row>
    <row r="41" spans="1:10" ht="26.4" x14ac:dyDescent="0.3">
      <c r="A41" s="180" t="s">
        <v>70</v>
      </c>
      <c r="B41" s="150"/>
      <c r="C41" s="28">
        <v>2.5</v>
      </c>
      <c r="D41" s="6" t="s">
        <v>71</v>
      </c>
      <c r="F41" s="182" t="s">
        <v>544</v>
      </c>
      <c r="G41" s="178"/>
      <c r="H41" s="87">
        <f ca="1">'SPENT LIQUOR CONDITIONING'!C43</f>
        <v>2.1261450741713115</v>
      </c>
      <c r="I41" s="88"/>
      <c r="J41" s="86"/>
    </row>
    <row r="42" spans="1:10" ht="39.6" x14ac:dyDescent="0.3">
      <c r="A42" s="185" t="s">
        <v>64</v>
      </c>
      <c r="B42" s="185"/>
      <c r="C42" s="7">
        <v>0.8</v>
      </c>
      <c r="D42" s="6" t="s">
        <v>65</v>
      </c>
      <c r="F42" s="144" t="s">
        <v>587</v>
      </c>
      <c r="G42" s="145"/>
      <c r="H42" s="87">
        <f ca="1">(H39+H41)*Molar_Base_Data!D8/'Pre-Desilication_Balance'!D27</f>
        <v>8.0713426165471311</v>
      </c>
      <c r="I42" s="88"/>
      <c r="J42" s="86"/>
    </row>
    <row r="43" spans="1:10" ht="52.8" x14ac:dyDescent="0.3">
      <c r="A43" s="201" t="s">
        <v>389</v>
      </c>
      <c r="B43" s="201"/>
      <c r="C43" s="89">
        <v>0.9</v>
      </c>
      <c r="D43" s="90" t="s">
        <v>390</v>
      </c>
      <c r="F43" s="144" t="s">
        <v>588</v>
      </c>
      <c r="G43" s="145"/>
      <c r="H43" s="87">
        <f ca="1">'Pre-Desilication_Balance'!C36 + 'SPENT LIQUOR CONDITIONING'!C39</f>
        <v>5.2954901886618284</v>
      </c>
      <c r="I43" s="88"/>
      <c r="J43" s="86"/>
    </row>
    <row r="44" spans="1:10" ht="39.6" x14ac:dyDescent="0.3">
      <c r="A44" s="186" t="s">
        <v>391</v>
      </c>
      <c r="B44" s="186"/>
      <c r="C44" s="89">
        <v>0.85</v>
      </c>
      <c r="D44" s="90" t="s">
        <v>392</v>
      </c>
      <c r="F44" s="140" t="s">
        <v>547</v>
      </c>
      <c r="G44" s="140"/>
      <c r="H44" s="87">
        <f ca="1">'Pre-Desilication_Balance'!C53+Digestion_Balance!C34+Precipitation_Hydrate!C16</f>
        <v>71.683881862908493</v>
      </c>
      <c r="I44" s="88"/>
      <c r="J44" s="86"/>
    </row>
    <row r="45" spans="1:10" x14ac:dyDescent="0.3">
      <c r="A45" s="185"/>
      <c r="B45" s="185"/>
      <c r="C45" s="89"/>
      <c r="D45" s="90"/>
      <c r="F45" s="141" t="s">
        <v>548</v>
      </c>
      <c r="G45" s="141"/>
      <c r="H45" s="59">
        <f ca="1">Digestion_Balance!C28</f>
        <v>39.613652312527428</v>
      </c>
    </row>
    <row r="46" spans="1:10" x14ac:dyDescent="0.3">
      <c r="A46" s="62"/>
      <c r="B46" s="62"/>
      <c r="C46" s="89"/>
      <c r="D46" s="90"/>
      <c r="F46" s="141" t="s">
        <v>549</v>
      </c>
      <c r="G46" s="141"/>
      <c r="H46" s="59">
        <f ca="1">Clarification_RedMud!C33</f>
        <v>85.24831273554139</v>
      </c>
    </row>
    <row r="47" spans="1:10" x14ac:dyDescent="0.3">
      <c r="A47" s="62"/>
      <c r="B47" s="62"/>
      <c r="C47" s="89"/>
      <c r="D47" s="90"/>
      <c r="F47" s="141" t="s">
        <v>550</v>
      </c>
      <c r="G47" s="141"/>
      <c r="H47" s="59">
        <f ca="1">'SPENT LIQUOR CONDITIONING'!C28</f>
        <v>75.917204940555735</v>
      </c>
    </row>
    <row r="48" spans="1:10" ht="109.2" x14ac:dyDescent="0.3">
      <c r="A48" s="134" t="s">
        <v>325</v>
      </c>
      <c r="B48" s="135"/>
      <c r="C48" s="135"/>
      <c r="D48" s="135"/>
      <c r="E48" t="s">
        <v>298</v>
      </c>
      <c r="F48" s="86"/>
      <c r="H48" s="59"/>
    </row>
    <row r="49" spans="1:11" x14ac:dyDescent="0.3">
      <c r="A49" s="160" t="s">
        <v>73</v>
      </c>
      <c r="B49" s="160"/>
      <c r="C49" s="160"/>
      <c r="D49" s="160"/>
      <c r="F49" s="86"/>
      <c r="H49" s="59"/>
    </row>
    <row r="50" spans="1:11" ht="15.6" x14ac:dyDescent="0.3">
      <c r="A50" s="158" t="s">
        <v>525</v>
      </c>
      <c r="B50" s="159"/>
      <c r="C50" s="159"/>
      <c r="D50" s="80"/>
      <c r="F50" s="135"/>
      <c r="G50" s="135"/>
      <c r="H50" s="135"/>
      <c r="I50" s="135"/>
      <c r="J50" s="135"/>
    </row>
    <row r="51" spans="1:11" x14ac:dyDescent="0.3">
      <c r="A51" s="80"/>
      <c r="B51" s="80"/>
      <c r="C51" s="80"/>
      <c r="D51" s="80"/>
      <c r="F51" s="160" t="s">
        <v>74</v>
      </c>
      <c r="G51" s="161"/>
      <c r="H51" s="161"/>
      <c r="I51" s="161"/>
      <c r="J51" s="66" t="s">
        <v>11</v>
      </c>
    </row>
    <row r="52" spans="1:11" ht="109.2" customHeight="1" x14ac:dyDescent="0.3">
      <c r="A52" s="80"/>
      <c r="B52" s="80"/>
      <c r="C52" s="80"/>
      <c r="D52" s="80"/>
      <c r="E52" s="135"/>
      <c r="F52" s="162" t="s">
        <v>447</v>
      </c>
      <c r="G52" s="163"/>
      <c r="H52" s="163"/>
      <c r="I52" s="163"/>
      <c r="J52" s="76"/>
      <c r="K52" s="135"/>
    </row>
    <row r="53" spans="1:11" x14ac:dyDescent="0.3">
      <c r="A53" s="151" t="s">
        <v>316</v>
      </c>
      <c r="B53" s="151"/>
      <c r="C53" s="151"/>
      <c r="D53" s="151"/>
      <c r="F53" s="158" t="s">
        <v>524</v>
      </c>
      <c r="G53" s="159"/>
      <c r="H53" s="159"/>
      <c r="I53" s="81">
        <f ca="1">'Pre-Desilication_Balance'!C53</f>
        <v>0.62103612404726327</v>
      </c>
      <c r="J53" s="76"/>
    </row>
    <row r="54" spans="1:11" x14ac:dyDescent="0.3">
      <c r="A54" s="164" t="s">
        <v>317</v>
      </c>
      <c r="B54" s="164"/>
      <c r="C54" s="164"/>
      <c r="D54" s="72">
        <f>Digestion_Balance!C15</f>
        <v>30</v>
      </c>
      <c r="F54" s="170" t="s">
        <v>233</v>
      </c>
      <c r="G54" s="171"/>
      <c r="H54" s="172"/>
      <c r="I54" s="81"/>
      <c r="J54" s="76"/>
    </row>
    <row r="55" spans="1:11" x14ac:dyDescent="0.3">
      <c r="A55" s="174" t="s">
        <v>310</v>
      </c>
      <c r="B55" s="174"/>
      <c r="C55" s="174"/>
      <c r="D55" s="72">
        <f ca="1">'SPENT LIQUOR CONDITIONING'!C56</f>
        <v>330</v>
      </c>
      <c r="F55" s="162" t="s">
        <v>526</v>
      </c>
      <c r="G55" s="163"/>
      <c r="H55" s="163"/>
      <c r="I55" s="163"/>
      <c r="J55" s="76"/>
    </row>
    <row r="56" spans="1:11" ht="22.05" customHeight="1" x14ac:dyDescent="0.3">
      <c r="A56" s="130"/>
      <c r="B56" s="130"/>
      <c r="C56" s="130"/>
      <c r="D56" s="72"/>
      <c r="F56" s="215" t="s">
        <v>232</v>
      </c>
      <c r="G56" s="159"/>
      <c r="H56" s="159"/>
      <c r="I56" s="77">
        <f ca="1">Digestion_Balance!C47</f>
        <v>12.528814619248019</v>
      </c>
    </row>
    <row r="57" spans="1:11" ht="14.4" customHeight="1" x14ac:dyDescent="0.3">
      <c r="A57" s="168" t="s">
        <v>217</v>
      </c>
      <c r="B57" s="168"/>
      <c r="C57" s="168"/>
      <c r="D57" s="73">
        <f ca="1">Digestion_Balance!C28</f>
        <v>39.613652312527428</v>
      </c>
      <c r="F57" s="170" t="s">
        <v>233</v>
      </c>
      <c r="G57" s="171"/>
      <c r="H57" s="172"/>
      <c r="I57" s="77">
        <f>Digestion_Balance!C48</f>
        <v>7.2</v>
      </c>
    </row>
    <row r="58" spans="1:11" ht="14.4" customHeight="1" x14ac:dyDescent="0.3">
      <c r="A58" s="169" t="s">
        <v>320</v>
      </c>
      <c r="B58" s="168"/>
      <c r="C58" s="168"/>
      <c r="D58" s="73">
        <f ca="1">Digestion_Balance!C46</f>
        <v>20.881357698746701</v>
      </c>
      <c r="F58" s="158" t="s">
        <v>546</v>
      </c>
      <c r="G58" s="159"/>
      <c r="H58" s="159"/>
      <c r="I58" s="77">
        <f ca="1">Digestion_Balance!C34</f>
        <v>31.657274469088989</v>
      </c>
    </row>
    <row r="59" spans="1:11" ht="14.4" customHeight="1" x14ac:dyDescent="0.3">
      <c r="A59" s="168"/>
      <c r="B59" s="168"/>
      <c r="C59" s="168"/>
      <c r="D59" s="73"/>
      <c r="F59" s="163" t="s">
        <v>318</v>
      </c>
      <c r="G59" s="163"/>
      <c r="H59" s="163"/>
      <c r="I59" s="163"/>
    </row>
    <row r="60" spans="1:11" ht="14.4" customHeight="1" x14ac:dyDescent="0.3">
      <c r="A60" s="151" t="s">
        <v>318</v>
      </c>
      <c r="B60" s="151"/>
      <c r="C60" s="151"/>
      <c r="D60" s="151"/>
      <c r="F60" s="158" t="s">
        <v>75</v>
      </c>
      <c r="G60" s="159"/>
      <c r="H60" s="159"/>
      <c r="I60" s="74">
        <f ca="1">Clarification_RedMud!C31</f>
        <v>21.31207818388534</v>
      </c>
      <c r="J60" s="67"/>
    </row>
    <row r="61" spans="1:11" ht="14.4" customHeight="1" x14ac:dyDescent="0.3">
      <c r="A61" s="209" t="s">
        <v>523</v>
      </c>
      <c r="B61" s="209"/>
      <c r="C61" s="209"/>
      <c r="D61" s="73">
        <f ca="1">Dashboard_Monitoring!C41*Clarification_RedMud!C28</f>
        <v>106.56039091942672</v>
      </c>
      <c r="F61" s="170" t="s">
        <v>309</v>
      </c>
      <c r="G61" s="171"/>
      <c r="H61" s="172"/>
      <c r="I61" s="74"/>
      <c r="J61" s="67"/>
    </row>
    <row r="62" spans="1:11" ht="14.4" customHeight="1" x14ac:dyDescent="0.3">
      <c r="A62" s="151" t="s">
        <v>319</v>
      </c>
      <c r="B62" s="151"/>
      <c r="C62" s="151"/>
      <c r="D62" s="151"/>
      <c r="E62" s="67"/>
      <c r="F62" s="163" t="s">
        <v>319</v>
      </c>
      <c r="G62" s="163"/>
      <c r="H62" s="163"/>
      <c r="I62" s="163"/>
      <c r="J62" s="67">
        <f ca="1">Precipitation_Hydrate!C17*(3*18.02)/(2*78)</f>
        <v>29.554178452329179</v>
      </c>
    </row>
    <row r="63" spans="1:11" ht="14.4" customHeight="1" thickBot="1" x14ac:dyDescent="0.35">
      <c r="A63" s="209" t="s">
        <v>473</v>
      </c>
      <c r="B63" s="209"/>
      <c r="C63" s="209"/>
      <c r="D63" s="59">
        <f ca="1">Precipitation_Hydrate!C32</f>
        <v>1.0625762065484774</v>
      </c>
      <c r="E63" s="67"/>
      <c r="F63" s="158" t="s">
        <v>281</v>
      </c>
      <c r="G63" s="159"/>
      <c r="H63" s="159"/>
      <c r="I63" s="79">
        <f ca="1">Precipitation_Hydrate!C16</f>
        <v>39.405571269772231</v>
      </c>
    </row>
    <row r="64" spans="1:11" ht="14.4" customHeight="1" thickBot="1" x14ac:dyDescent="0.35">
      <c r="A64" s="212" t="s">
        <v>76</v>
      </c>
      <c r="B64" s="213"/>
      <c r="C64" s="214"/>
      <c r="D64" s="29">
        <f ca="1">SUM(D50:D63)</f>
        <v>528.11797713724934</v>
      </c>
      <c r="F64" s="158" t="s">
        <v>286</v>
      </c>
      <c r="G64" s="159"/>
      <c r="H64" s="159"/>
      <c r="I64" s="79">
        <f ca="1">Precipitation_Hydrate!C22</f>
        <v>9.4759975306518527</v>
      </c>
    </row>
    <row r="65" spans="1:105" ht="14.4" customHeight="1" thickBot="1" x14ac:dyDescent="0.35">
      <c r="A65" s="206" t="s">
        <v>79</v>
      </c>
      <c r="B65" s="207"/>
      <c r="C65" s="208"/>
      <c r="D65" s="30">
        <f ca="1">D64-I69</f>
        <v>0</v>
      </c>
      <c r="F65" s="158" t="s">
        <v>522</v>
      </c>
      <c r="G65" s="159"/>
      <c r="H65" s="159"/>
      <c r="I65" s="79">
        <f ca="1">'SPENT LIQUOR CONDITIONING'!C28</f>
        <v>75.917204940555735</v>
      </c>
    </row>
    <row r="66" spans="1:105" s="71" customFormat="1" ht="14.4" customHeight="1" x14ac:dyDescent="0.3">
      <c r="A66"/>
      <c r="B66"/>
      <c r="C66"/>
      <c r="D66"/>
      <c r="E66"/>
      <c r="F66" s="158" t="s">
        <v>527</v>
      </c>
      <c r="G66" s="159"/>
      <c r="H66" s="159"/>
      <c r="I66" s="79">
        <f ca="1">'SPENT LIQUOR CONDITIONING'!C40</f>
        <v>0</v>
      </c>
      <c r="J66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</row>
    <row r="67" spans="1:105" s="71" customFormat="1" x14ac:dyDescent="0.3">
      <c r="A67"/>
      <c r="B67"/>
      <c r="C67"/>
      <c r="D67" s="59"/>
      <c r="E67"/>
      <c r="F67" s="204" t="s">
        <v>530</v>
      </c>
      <c r="G67" s="205"/>
      <c r="H67" s="205"/>
      <c r="I67" s="75">
        <f ca="1">'SPENT LIQUOR CONDITIONING'!C56</f>
        <v>330</v>
      </c>
      <c r="J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</row>
    <row r="68" spans="1:105" ht="14.4" customHeight="1" thickBot="1" x14ac:dyDescent="0.35">
      <c r="I68" s="59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</row>
    <row r="69" spans="1:105" ht="14.4" customHeight="1" thickBot="1" x14ac:dyDescent="0.35">
      <c r="D69" s="59"/>
      <c r="F69" s="184" t="s">
        <v>77</v>
      </c>
      <c r="G69" s="177"/>
      <c r="H69" s="178"/>
      <c r="I69" s="29">
        <f ca="1">SUM(I52:I68)</f>
        <v>528.11797713724945</v>
      </c>
      <c r="J69" s="21" t="s">
        <v>78</v>
      </c>
    </row>
    <row r="70" spans="1:105" ht="14.4" customHeight="1" x14ac:dyDescent="0.3">
      <c r="A70" s="121" t="s">
        <v>448</v>
      </c>
      <c r="B70" s="137"/>
      <c r="C70" s="137"/>
      <c r="D70" s="137"/>
    </row>
    <row r="71" spans="1:105" ht="14.4" customHeight="1" x14ac:dyDescent="0.3">
      <c r="A71" s="160" t="s">
        <v>445</v>
      </c>
      <c r="B71" s="160"/>
      <c r="C71" s="160"/>
      <c r="D71" s="160"/>
    </row>
    <row r="72" spans="1:105" ht="14.4" customHeight="1" x14ac:dyDescent="0.3">
      <c r="A72" s="151" t="s">
        <v>447</v>
      </c>
      <c r="B72" s="151"/>
      <c r="C72" s="151"/>
      <c r="D72" s="151"/>
      <c r="F72" s="137"/>
      <c r="G72" s="137"/>
      <c r="H72" s="137"/>
      <c r="I72" s="137"/>
      <c r="J72" s="138"/>
    </row>
    <row r="73" spans="1:105" ht="14.4" customHeight="1" x14ac:dyDescent="0.3">
      <c r="A73" s="164" t="s">
        <v>449</v>
      </c>
      <c r="B73" s="164"/>
      <c r="C73" s="164"/>
      <c r="D73" s="80">
        <f>'Pre-Desilication_Balance'!E5*2</f>
        <v>1284.0309438634358</v>
      </c>
      <c r="F73" s="160" t="s">
        <v>446</v>
      </c>
      <c r="G73" s="161"/>
      <c r="H73" s="161"/>
      <c r="I73" s="161"/>
      <c r="J73" s="66" t="s">
        <v>11</v>
      </c>
    </row>
    <row r="74" spans="1:105" ht="156" customHeight="1" x14ac:dyDescent="0.3">
      <c r="A74" s="164" t="s">
        <v>450</v>
      </c>
      <c r="B74" s="164"/>
      <c r="C74" s="164"/>
      <c r="D74" s="80">
        <f ca="1">'Pre-Desilication_Balance'!E26</f>
        <v>344.24551543479043</v>
      </c>
      <c r="E74" s="137"/>
      <c r="F74" s="162" t="s">
        <v>447</v>
      </c>
      <c r="G74" s="163"/>
      <c r="H74" s="163"/>
      <c r="I74" s="163"/>
      <c r="J74" s="76"/>
    </row>
    <row r="75" spans="1:105" ht="14.4" customHeight="1" x14ac:dyDescent="0.3">
      <c r="A75" s="151" t="s">
        <v>316</v>
      </c>
      <c r="B75" s="151"/>
      <c r="C75" s="151"/>
      <c r="D75" s="151"/>
      <c r="F75" s="158" t="s">
        <v>452</v>
      </c>
      <c r="G75" s="159"/>
      <c r="H75" s="159"/>
      <c r="I75" s="81">
        <f ca="1">'Pre-Desilication_Balance'!E48*2</f>
        <v>153.6434590667709</v>
      </c>
      <c r="J75" s="76"/>
    </row>
    <row r="76" spans="1:105" ht="15.6" customHeight="1" x14ac:dyDescent="0.3">
      <c r="A76" s="164" t="s">
        <v>317</v>
      </c>
      <c r="B76" s="164"/>
      <c r="C76" s="164"/>
      <c r="D76" s="72">
        <f ca="1">Digestion_Balance!C34</f>
        <v>31.657274469088989</v>
      </c>
      <c r="F76" s="162" t="s">
        <v>316</v>
      </c>
      <c r="G76" s="163"/>
      <c r="H76" s="163"/>
      <c r="I76" s="163"/>
      <c r="J76" s="76"/>
    </row>
    <row r="77" spans="1:105" x14ac:dyDescent="0.3">
      <c r="A77" s="174" t="s">
        <v>310</v>
      </c>
      <c r="B77" s="174"/>
      <c r="C77" s="174"/>
      <c r="D77" s="72">
        <f>Digestion_Balance!C39</f>
        <v>0.9589988350868226</v>
      </c>
      <c r="F77" s="158" t="s">
        <v>453</v>
      </c>
      <c r="G77" s="159"/>
      <c r="H77" s="159"/>
      <c r="I77" s="122">
        <f ca="1">Digestion_Balance!E32*2</f>
        <v>43.212222862529337</v>
      </c>
      <c r="J77" s="76"/>
    </row>
    <row r="78" spans="1:105" ht="15.6" customHeight="1" x14ac:dyDescent="0.3">
      <c r="A78" s="168" t="s">
        <v>217</v>
      </c>
      <c r="B78" s="168"/>
      <c r="C78" s="168"/>
      <c r="D78" s="73">
        <f ca="1">Digestion_Balance!C46</f>
        <v>20.881357698746701</v>
      </c>
      <c r="F78" s="173" t="s">
        <v>318</v>
      </c>
      <c r="G78" s="166"/>
      <c r="H78" s="166"/>
      <c r="I78" s="167"/>
    </row>
    <row r="79" spans="1:105" x14ac:dyDescent="0.3">
      <c r="A79" s="169" t="s">
        <v>320</v>
      </c>
      <c r="B79" s="168"/>
      <c r="C79" s="168"/>
      <c r="D79" s="73">
        <f>Digestion_Balance!C64</f>
        <v>0</v>
      </c>
      <c r="F79" s="170" t="s">
        <v>456</v>
      </c>
      <c r="G79" s="171"/>
      <c r="H79" s="172"/>
      <c r="I79" s="77">
        <f ca="1">Clarification_RedMud!C49/Molar_Base_Data!D15*1000</f>
        <v>5.7736138389342173</v>
      </c>
    </row>
    <row r="80" spans="1:105" x14ac:dyDescent="0.3">
      <c r="A80" s="168" t="s">
        <v>314</v>
      </c>
      <c r="B80" s="168"/>
      <c r="C80" s="168"/>
      <c r="D80" s="73">
        <f ca="1">Digestion_Balance!C52</f>
        <v>3.4561135845450965</v>
      </c>
      <c r="F80" s="152" t="s">
        <v>457</v>
      </c>
      <c r="G80" s="153"/>
      <c r="H80" s="154"/>
      <c r="I80" s="122">
        <f ca="1">Clarification_RedMud!C47/Molar_Base_Data!D17*1000*2</f>
        <v>-11.982682364627514</v>
      </c>
    </row>
    <row r="81" spans="1:29" x14ac:dyDescent="0.3">
      <c r="A81" s="151" t="s">
        <v>318</v>
      </c>
      <c r="B81" s="151"/>
      <c r="C81" s="151"/>
      <c r="D81" s="151"/>
      <c r="F81" s="170" t="s">
        <v>319</v>
      </c>
      <c r="G81" s="171"/>
      <c r="H81" s="171"/>
      <c r="I81" s="172"/>
      <c r="J81" s="67"/>
    </row>
    <row r="82" spans="1:29" x14ac:dyDescent="0.3">
      <c r="D82">
        <f>D73</f>
        <v>1284.0309438634358</v>
      </c>
      <c r="F82" s="170" t="s">
        <v>285</v>
      </c>
      <c r="G82" s="171"/>
      <c r="H82" s="172"/>
      <c r="I82" s="79">
        <f ca="1">Precipitation_Hydrate!E21</f>
        <v>1093.384330459829</v>
      </c>
      <c r="J82" s="67"/>
    </row>
    <row r="83" spans="1:29" x14ac:dyDescent="0.3">
      <c r="E83" s="67"/>
      <c r="F83" s="152" t="s">
        <v>458</v>
      </c>
      <c r="G83" s="153"/>
      <c r="H83" s="154"/>
      <c r="I83" s="124">
        <f ca="1">'SPENT LIQUOR CONDITIONING'!C60/Molar_Base_Data!D15*1000</f>
        <v>344.24551543479043</v>
      </c>
      <c r="J83" s="67"/>
    </row>
    <row r="84" spans="1:29" ht="124.8" x14ac:dyDescent="0.3">
      <c r="A84" s="121" t="s">
        <v>465</v>
      </c>
      <c r="B84" s="119"/>
      <c r="C84" s="119"/>
      <c r="D84" s="119"/>
      <c r="E84" s="67"/>
      <c r="I84" s="59">
        <f ca="1">I75+I77+I79+I80+I82</f>
        <v>1284.0309438634358</v>
      </c>
    </row>
    <row r="85" spans="1:29" x14ac:dyDescent="0.3">
      <c r="A85" s="160" t="s">
        <v>445</v>
      </c>
      <c r="B85" s="160"/>
      <c r="C85" s="160"/>
      <c r="D85" s="160"/>
    </row>
    <row r="86" spans="1:29" ht="15.6" x14ac:dyDescent="0.3">
      <c r="A86" s="151" t="s">
        <v>447</v>
      </c>
      <c r="B86" s="151"/>
      <c r="C86" s="151"/>
      <c r="D86" s="151"/>
      <c r="F86" s="119"/>
      <c r="G86" s="119"/>
      <c r="H86" s="119"/>
      <c r="I86" s="119"/>
      <c r="J86" s="120"/>
    </row>
    <row r="87" spans="1:29" x14ac:dyDescent="0.3">
      <c r="A87" s="164" t="s">
        <v>466</v>
      </c>
      <c r="B87" s="164"/>
      <c r="C87" s="164"/>
      <c r="D87" s="80">
        <f>'Pre-Desilication_Balance'!E44</f>
        <v>11.311130602154359</v>
      </c>
      <c r="F87" s="160" t="s">
        <v>446</v>
      </c>
      <c r="G87" s="161"/>
      <c r="H87" s="161"/>
      <c r="I87" s="161"/>
      <c r="J87" s="66" t="s">
        <v>11</v>
      </c>
    </row>
    <row r="88" spans="1:29" ht="15.6" x14ac:dyDescent="0.3">
      <c r="A88" s="164" t="s">
        <v>467</v>
      </c>
      <c r="B88" s="164"/>
      <c r="C88" s="164"/>
      <c r="D88" s="127">
        <f ca="1">'SPENT LIQUOR CONDITIONING'!E50</f>
        <v>1120.1859010146723</v>
      </c>
      <c r="E88" s="119"/>
      <c r="F88" s="162" t="s">
        <v>316</v>
      </c>
      <c r="G88" s="163"/>
      <c r="H88" s="163"/>
      <c r="I88" s="163"/>
      <c r="J88" s="76"/>
    </row>
    <row r="89" spans="1:29" x14ac:dyDescent="0.3">
      <c r="A89" s="155" t="s">
        <v>464</v>
      </c>
      <c r="B89" s="156"/>
      <c r="C89" s="157"/>
      <c r="D89" s="127">
        <f ca="1">'SPENT LIQUOR CONDITIONING'!E53</f>
        <v>141.78488139072215</v>
      </c>
      <c r="F89" s="158" t="s">
        <v>499</v>
      </c>
      <c r="G89" s="159"/>
      <c r="H89" s="159"/>
      <c r="I89" s="122">
        <f ca="1">Digestion_Balance!C53/Digestion_Balance!D26*1000</f>
        <v>1185.5823900238217</v>
      </c>
      <c r="J89" s="76"/>
    </row>
    <row r="90" spans="1:29" ht="14.4" customHeight="1" x14ac:dyDescent="0.3">
      <c r="A90" s="127" t="s">
        <v>318</v>
      </c>
      <c r="B90" s="127"/>
      <c r="C90" s="127"/>
      <c r="D90" s="127">
        <f ca="1">Digestion_Balance!E54</f>
        <v>0</v>
      </c>
      <c r="F90" s="158" t="s">
        <v>487</v>
      </c>
      <c r="G90" s="159"/>
      <c r="H90" s="159"/>
      <c r="I90" s="128">
        <f ca="1">Clarification_RedMud!G50</f>
        <v>0.35079809193490807</v>
      </c>
      <c r="J90" s="76"/>
    </row>
    <row r="91" spans="1:29" ht="15.6" customHeight="1" x14ac:dyDescent="0.3">
      <c r="A91" s="155" t="s">
        <v>517</v>
      </c>
      <c r="B91" s="156"/>
      <c r="C91" s="157"/>
      <c r="D91" s="59">
        <f ca="1">D87+D88+D89+D90</f>
        <v>1273.2819130075488</v>
      </c>
      <c r="F91" s="170" t="s">
        <v>319</v>
      </c>
      <c r="G91" s="171"/>
      <c r="H91" s="171"/>
      <c r="I91" s="172"/>
      <c r="J91" s="76"/>
    </row>
    <row r="92" spans="1:29" ht="14.4" customHeight="1" x14ac:dyDescent="0.3">
      <c r="F92" s="158" t="s">
        <v>469</v>
      </c>
      <c r="G92" s="159"/>
      <c r="H92" s="159"/>
      <c r="I92" s="79">
        <f ca="1">'SPENT LIQUOR CONDITIONING'!E45*2</f>
        <v>60.547154336949241</v>
      </c>
      <c r="J92" s="76"/>
      <c r="O92" s="150" t="s">
        <v>500</v>
      </c>
      <c r="P92" s="150"/>
      <c r="Q92" s="150"/>
      <c r="R92" s="150"/>
      <c r="S92" s="150"/>
      <c r="T92" s="150" t="s">
        <v>507</v>
      </c>
      <c r="U92" s="150"/>
      <c r="V92" s="150"/>
      <c r="W92" s="150"/>
      <c r="X92" s="150"/>
      <c r="Y92" s="150" t="s">
        <v>511</v>
      </c>
      <c r="Z92" s="150"/>
      <c r="AA92" s="150"/>
      <c r="AB92" s="150"/>
      <c r="AC92" s="150"/>
    </row>
    <row r="93" spans="1:29" x14ac:dyDescent="0.3">
      <c r="F93" s="150" t="s">
        <v>516</v>
      </c>
      <c r="G93" s="150"/>
      <c r="H93" s="150"/>
      <c r="I93" s="124">
        <f ca="1">-Precipitation_Hydrate!E18</f>
        <v>-1093.384330459829</v>
      </c>
      <c r="L93">
        <f ca="1">Digestion_Balance!E26</f>
        <v>1099.1579442987631</v>
      </c>
      <c r="M93" s="59">
        <f ca="1">Precipitation_Hydrate!E18</f>
        <v>1093.384330459829</v>
      </c>
      <c r="O93" s="150" t="s">
        <v>502</v>
      </c>
      <c r="P93" s="150"/>
      <c r="Q93" s="150" t="s">
        <v>501</v>
      </c>
      <c r="R93" s="150"/>
      <c r="T93" t="s">
        <v>508</v>
      </c>
      <c r="U93" s="59">
        <f ca="1">Clarification_RedMud!C5</f>
        <v>3.5071039241192423</v>
      </c>
      <c r="V93" t="s">
        <v>509</v>
      </c>
      <c r="W93" s="59">
        <f ca="1">Clarification_RedMud!C50</f>
        <v>1.4028415696476976E-2</v>
      </c>
      <c r="Y93" t="s">
        <v>512</v>
      </c>
      <c r="Z93" s="59">
        <f ca="1">Precipitation_Hydrate!E6</f>
        <v>85.945532524052439</v>
      </c>
      <c r="AA93" t="s">
        <v>514</v>
      </c>
      <c r="AB93">
        <f ca="1">Precipitation_Hydrate!E31*2</f>
        <v>117.93298629838817</v>
      </c>
    </row>
    <row r="94" spans="1:29" x14ac:dyDescent="0.3">
      <c r="F94" s="175" t="s">
        <v>518</v>
      </c>
      <c r="G94" s="175"/>
      <c r="H94" s="175"/>
      <c r="I94" s="59">
        <f ca="1">'SPENT LIQUOR CONDITIONING'!E50</f>
        <v>1120.1859010146723</v>
      </c>
      <c r="J94" s="59"/>
      <c r="L94">
        <f ca="1">Digestion_Balance!E31</f>
        <v>86.424445725058675</v>
      </c>
      <c r="O94" t="s">
        <v>503</v>
      </c>
      <c r="P94">
        <f>D95</f>
        <v>0</v>
      </c>
      <c r="Q94" t="s">
        <v>504</v>
      </c>
      <c r="R94">
        <f ca="1">Digestion_Balance!E26</f>
        <v>1099.1579442987631</v>
      </c>
      <c r="V94" t="s">
        <v>510</v>
      </c>
      <c r="W94" s="59">
        <f ca="1">Clarification_RedMud!C35</f>
        <v>5.6113662785907931E-2</v>
      </c>
      <c r="Y94" t="s">
        <v>513</v>
      </c>
      <c r="Z94" s="59">
        <f ca="1">Precipitation_Hydrate!E18</f>
        <v>1093.384330459829</v>
      </c>
      <c r="AA94" t="s">
        <v>515</v>
      </c>
      <c r="AB94">
        <f ca="1">Precipitation_Hydrate!C34/Precipitation_Hydrate!D30*1000</f>
        <v>1061.3968766854935</v>
      </c>
    </row>
    <row r="95" spans="1:29" x14ac:dyDescent="0.3">
      <c r="F95" s="150"/>
      <c r="G95" s="150"/>
      <c r="H95" s="150"/>
      <c r="I95" s="59"/>
      <c r="J95" s="59"/>
      <c r="W95" s="59"/>
      <c r="Z95" s="59"/>
    </row>
    <row r="96" spans="1:29" x14ac:dyDescent="0.3">
      <c r="D96" s="59"/>
      <c r="F96" s="150" t="s">
        <v>517</v>
      </c>
      <c r="G96" s="150"/>
      <c r="H96" s="150"/>
      <c r="I96" s="59">
        <f ca="1">I89+I90+I92+I93+I94+I95</f>
        <v>1273.2819130075491</v>
      </c>
      <c r="Q96" t="s">
        <v>505</v>
      </c>
      <c r="R96">
        <f ca="1">Digestion_Balance!E31</f>
        <v>86.424445725058675</v>
      </c>
      <c r="V96" t="s">
        <v>506</v>
      </c>
      <c r="W96" s="59">
        <f ca="1">Clarification_RedMud!C19</f>
        <v>3.4369618456368576</v>
      </c>
    </row>
    <row r="97" spans="1:28" x14ac:dyDescent="0.3">
      <c r="F97" s="150"/>
      <c r="G97" s="150"/>
      <c r="H97" s="150"/>
      <c r="I97" s="59"/>
      <c r="J97" s="67"/>
      <c r="Q97" t="s">
        <v>506</v>
      </c>
      <c r="R97">
        <f ca="1">Digestion_Balance!E57</f>
        <v>87.699522983726993</v>
      </c>
      <c r="W97" s="59">
        <f ca="1">SUM(W93:W96)</f>
        <v>3.5071039241192423</v>
      </c>
      <c r="Z97" s="59">
        <f ca="1">Z93+Z94</f>
        <v>1179.3298629838814</v>
      </c>
      <c r="AB97">
        <f ca="1">AB93+AB94</f>
        <v>1179.3298629838816</v>
      </c>
    </row>
    <row r="98" spans="1:28" ht="156" x14ac:dyDescent="0.3">
      <c r="A98" s="121" t="s">
        <v>474</v>
      </c>
      <c r="B98" s="119"/>
      <c r="C98" s="119"/>
      <c r="D98" s="119"/>
      <c r="I98" s="59"/>
      <c r="J98" s="67"/>
      <c r="R98">
        <f ca="1">SUM(R94:R97)</f>
        <v>1273.2819130075488</v>
      </c>
    </row>
    <row r="99" spans="1:28" ht="14.4" customHeight="1" x14ac:dyDescent="0.3">
      <c r="A99" s="160" t="s">
        <v>445</v>
      </c>
      <c r="B99" s="160"/>
      <c r="C99" s="160"/>
      <c r="D99" s="160"/>
      <c r="E99" s="67"/>
      <c r="J99" s="67"/>
    </row>
    <row r="100" spans="1:28" ht="14.4" customHeight="1" x14ac:dyDescent="0.3">
      <c r="A100" s="151" t="s">
        <v>447</v>
      </c>
      <c r="B100" s="151"/>
      <c r="C100" s="151"/>
      <c r="D100" s="151"/>
      <c r="E100" s="67"/>
      <c r="F100" s="119"/>
      <c r="G100" s="119"/>
      <c r="H100" s="119"/>
      <c r="I100" s="119"/>
      <c r="J100" s="120"/>
    </row>
    <row r="101" spans="1:28" x14ac:dyDescent="0.3">
      <c r="A101" s="164" t="s">
        <v>475</v>
      </c>
      <c r="B101" s="164"/>
      <c r="C101" s="164"/>
      <c r="D101" s="80">
        <f>'Pre-Desilication_Balance'!E9</f>
        <v>20.920398423232978</v>
      </c>
      <c r="F101" s="160" t="s">
        <v>446</v>
      </c>
      <c r="G101" s="161"/>
      <c r="H101" s="161"/>
      <c r="I101" s="161"/>
      <c r="J101" s="66" t="s">
        <v>11</v>
      </c>
    </row>
    <row r="102" spans="1:28" ht="15.6" x14ac:dyDescent="0.3">
      <c r="A102" s="164" t="s">
        <v>476</v>
      </c>
      <c r="B102" s="164"/>
      <c r="C102" s="164"/>
      <c r="D102" s="80">
        <f ca="1">'Pre-Desilication_Balance'!E27</f>
        <v>28.692915980719455</v>
      </c>
      <c r="E102" s="119"/>
      <c r="F102" s="162" t="s">
        <v>447</v>
      </c>
      <c r="G102" s="163"/>
      <c r="H102" s="163"/>
      <c r="I102" s="163"/>
      <c r="J102" s="76"/>
    </row>
    <row r="103" spans="1:28" x14ac:dyDescent="0.3">
      <c r="A103" s="155" t="s">
        <v>484</v>
      </c>
      <c r="B103" s="156"/>
      <c r="C103" s="157"/>
      <c r="D103" s="127">
        <f ca="1">'Pre-Desilication_Balance'!E36</f>
        <v>94.427428471145291</v>
      </c>
      <c r="F103" s="158" t="s">
        <v>477</v>
      </c>
      <c r="G103" s="159"/>
      <c r="H103" s="159"/>
      <c r="I103" s="81">
        <f ca="1">'Pre-Desilication_Balance'!E47</f>
        <v>115.23259430007818</v>
      </c>
      <c r="J103" s="76"/>
    </row>
    <row r="104" spans="1:28" x14ac:dyDescent="0.3">
      <c r="A104" s="155" t="s">
        <v>478</v>
      </c>
      <c r="B104" s="156"/>
      <c r="C104" s="156"/>
      <c r="D104" s="157"/>
      <c r="F104" s="173" t="s">
        <v>318</v>
      </c>
      <c r="G104" s="166"/>
      <c r="H104" s="166"/>
      <c r="I104" s="167"/>
      <c r="J104" s="76"/>
    </row>
    <row r="105" spans="1:28" x14ac:dyDescent="0.3">
      <c r="A105" s="174" t="s">
        <v>494</v>
      </c>
      <c r="B105" s="174"/>
      <c r="C105" s="174"/>
      <c r="D105" s="72">
        <f ca="1">'SPENT LIQUOR CONDITIONING'!E39</f>
        <v>0</v>
      </c>
      <c r="F105" s="158" t="s">
        <v>485</v>
      </c>
      <c r="G105" s="159"/>
      <c r="H105" s="159"/>
      <c r="I105" s="122">
        <f ca="1">Clarification_RedMud!G51</f>
        <v>0.11523259430007826</v>
      </c>
      <c r="J105" s="76"/>
    </row>
    <row r="106" spans="1:28" ht="15.6" customHeight="1" x14ac:dyDescent="0.3">
      <c r="A106" s="168" t="s">
        <v>217</v>
      </c>
      <c r="B106" s="168"/>
      <c r="C106" s="168"/>
      <c r="D106" s="73">
        <f>Digestion_Balance!C73</f>
        <v>0</v>
      </c>
      <c r="F106" s="165" t="s">
        <v>478</v>
      </c>
      <c r="G106" s="166"/>
      <c r="H106" s="166"/>
      <c r="I106" s="167"/>
    </row>
    <row r="107" spans="1:28" x14ac:dyDescent="0.3">
      <c r="A107" s="169" t="s">
        <v>320</v>
      </c>
      <c r="B107" s="168"/>
      <c r="C107" s="168"/>
      <c r="D107" s="73">
        <f>Digestion_Balance!C91</f>
        <v>0</v>
      </c>
      <c r="F107" s="170" t="s">
        <v>479</v>
      </c>
      <c r="G107" s="171"/>
      <c r="H107" s="172"/>
      <c r="I107" s="77">
        <f ca="1">'SPENT LIQUOR CONDITIONING'!E37</f>
        <v>0</v>
      </c>
    </row>
    <row r="108" spans="1:28" x14ac:dyDescent="0.3">
      <c r="A108" s="168" t="s">
        <v>314</v>
      </c>
      <c r="B108" s="168"/>
      <c r="C108" s="168"/>
      <c r="D108" s="73">
        <f>Digestion_Balance!C79</f>
        <v>0</v>
      </c>
      <c r="F108" s="152" t="s">
        <v>486</v>
      </c>
      <c r="G108" s="153"/>
      <c r="H108" s="154"/>
      <c r="I108" s="122">
        <f ca="1">'SPENT LIQUOR CONDITIONING'!E46</f>
        <v>28.692915980719459</v>
      </c>
    </row>
    <row r="109" spans="1:28" ht="14.4" customHeight="1" x14ac:dyDescent="0.3">
      <c r="A109" s="151" t="s">
        <v>318</v>
      </c>
      <c r="B109" s="151"/>
      <c r="C109" s="151"/>
      <c r="D109" s="151"/>
      <c r="F109" s="170" t="s">
        <v>319</v>
      </c>
      <c r="G109" s="171"/>
      <c r="H109" s="171"/>
      <c r="I109" s="172"/>
      <c r="J109" s="67"/>
    </row>
    <row r="110" spans="1:28" ht="14.4" customHeight="1" x14ac:dyDescent="0.3">
      <c r="D110">
        <f>D101</f>
        <v>20.920398423232978</v>
      </c>
      <c r="F110" s="170" t="s">
        <v>285</v>
      </c>
      <c r="G110" s="171"/>
      <c r="H110" s="172"/>
      <c r="I110" s="79">
        <f>Precipitation_Hydrate!E49</f>
        <v>0</v>
      </c>
      <c r="J110" s="67"/>
    </row>
    <row r="111" spans="1:28" ht="14.4" customHeight="1" x14ac:dyDescent="0.3">
      <c r="E111" s="67"/>
      <c r="F111" s="152" t="s">
        <v>458</v>
      </c>
      <c r="G111" s="153"/>
      <c r="H111" s="154"/>
      <c r="I111" s="124"/>
      <c r="J111" s="67"/>
    </row>
    <row r="112" spans="1:28" ht="14.4" customHeight="1" x14ac:dyDescent="0.3">
      <c r="D112" s="59">
        <f ca="1">D101+D102+D103+D105</f>
        <v>144.04074287509772</v>
      </c>
      <c r="E112" s="67"/>
      <c r="I112" s="59">
        <f ca="1">I103+I105+I107+I108+I110</f>
        <v>144.04074287509772</v>
      </c>
    </row>
    <row r="113" spans="1:10" ht="93.6" x14ac:dyDescent="0.3">
      <c r="A113" s="121" t="s">
        <v>498</v>
      </c>
      <c r="B113" s="119"/>
      <c r="C113" s="119"/>
      <c r="D113" s="119"/>
    </row>
    <row r="114" spans="1:10" x14ac:dyDescent="0.3">
      <c r="A114" s="160" t="s">
        <v>445</v>
      </c>
      <c r="B114" s="160"/>
      <c r="C114" s="160"/>
      <c r="D114" s="160"/>
      <c r="I114" s="59">
        <f ca="1">I103+I105+I107+I108</f>
        <v>144.04074287509772</v>
      </c>
    </row>
    <row r="115" spans="1:10" ht="15.6" x14ac:dyDescent="0.3">
      <c r="A115" s="151" t="s">
        <v>447</v>
      </c>
      <c r="B115" s="151"/>
      <c r="C115" s="151"/>
      <c r="D115" s="151"/>
      <c r="F115" s="119"/>
      <c r="G115" s="119"/>
      <c r="H115" s="119"/>
      <c r="I115" s="119"/>
      <c r="J115" s="120"/>
    </row>
    <row r="116" spans="1:10" x14ac:dyDescent="0.3">
      <c r="A116" s="164" t="s">
        <v>519</v>
      </c>
      <c r="B116" s="164"/>
      <c r="C116" s="164"/>
      <c r="D116" s="80">
        <f>'Pre-Desilication_Balance'!E6</f>
        <v>120.03395239591478</v>
      </c>
      <c r="F116" s="160" t="s">
        <v>446</v>
      </c>
      <c r="G116" s="161"/>
      <c r="H116" s="161"/>
      <c r="I116" s="161"/>
      <c r="J116" s="66" t="s">
        <v>11</v>
      </c>
    </row>
    <row r="117" spans="1:10" ht="15.6" x14ac:dyDescent="0.3">
      <c r="A117" s="164"/>
      <c r="B117" s="164"/>
      <c r="C117" s="164"/>
      <c r="D117" s="80"/>
      <c r="E117" s="119"/>
      <c r="F117" s="162" t="s">
        <v>447</v>
      </c>
      <c r="G117" s="163"/>
      <c r="H117" s="163"/>
      <c r="I117" s="163"/>
      <c r="J117" s="76"/>
    </row>
    <row r="118" spans="1:10" x14ac:dyDescent="0.3">
      <c r="A118" s="155"/>
      <c r="B118" s="156"/>
      <c r="C118" s="157"/>
      <c r="D118" s="127"/>
      <c r="F118" s="158" t="s">
        <v>520</v>
      </c>
      <c r="G118" s="159"/>
      <c r="H118" s="159"/>
      <c r="I118" s="81">
        <f ca="1">'Pre-Desilication_Balance'!E46</f>
        <v>76.821729533385451</v>
      </c>
      <c r="J118" s="76"/>
    </row>
    <row r="119" spans="1:10" x14ac:dyDescent="0.3">
      <c r="A119" s="151" t="s">
        <v>318</v>
      </c>
      <c r="B119" s="151"/>
      <c r="C119" s="151"/>
      <c r="D119" s="151"/>
      <c r="F119" s="165" t="s">
        <v>316</v>
      </c>
      <c r="G119" s="166"/>
      <c r="H119" s="166"/>
      <c r="I119" s="167"/>
      <c r="J119" s="76"/>
    </row>
    <row r="120" spans="1:10" x14ac:dyDescent="0.3">
      <c r="D120">
        <f>D116</f>
        <v>120.03395239591478</v>
      </c>
      <c r="F120" s="158" t="s">
        <v>521</v>
      </c>
      <c r="G120" s="159"/>
      <c r="H120" s="159"/>
      <c r="I120" s="124">
        <f ca="1">Digestion_Balance!E30</f>
        <v>43.212222862529337</v>
      </c>
      <c r="J120" s="76"/>
    </row>
    <row r="121" spans="1:10" ht="15.6" customHeight="1" x14ac:dyDescent="0.3">
      <c r="F121" s="152" t="s">
        <v>458</v>
      </c>
      <c r="G121" s="153"/>
      <c r="H121" s="154"/>
      <c r="I121" s="124"/>
      <c r="J121" s="67"/>
    </row>
    <row r="122" spans="1:10" x14ac:dyDescent="0.3">
      <c r="I122" s="59">
        <f ca="1">I118+I120</f>
        <v>120.03395239591478</v>
      </c>
      <c r="J122" s="59">
        <f ca="1">I122-D120</f>
        <v>0</v>
      </c>
    </row>
  </sheetData>
  <mergeCells count="194">
    <mergeCell ref="A81:D81"/>
    <mergeCell ref="A78:C78"/>
    <mergeCell ref="A79:C79"/>
    <mergeCell ref="A80:C80"/>
    <mergeCell ref="F82:H82"/>
    <mergeCell ref="F81:I81"/>
    <mergeCell ref="F83:H83"/>
    <mergeCell ref="A75:D75"/>
    <mergeCell ref="A76:C76"/>
    <mergeCell ref="A77:C77"/>
    <mergeCell ref="F79:H79"/>
    <mergeCell ref="A3:H3"/>
    <mergeCell ref="I3:J3"/>
    <mergeCell ref="A71:D71"/>
    <mergeCell ref="F73:I73"/>
    <mergeCell ref="A64:C64"/>
    <mergeCell ref="A63:C63"/>
    <mergeCell ref="A54:C54"/>
    <mergeCell ref="A55:C55"/>
    <mergeCell ref="A60:D60"/>
    <mergeCell ref="F65:H65"/>
    <mergeCell ref="F62:I62"/>
    <mergeCell ref="A53:D53"/>
    <mergeCell ref="F55:I55"/>
    <mergeCell ref="F59:I59"/>
    <mergeCell ref="F61:H61"/>
    <mergeCell ref="F56:H56"/>
    <mergeCell ref="F69:H69"/>
    <mergeCell ref="F6:G6"/>
    <mergeCell ref="A6:B6"/>
    <mergeCell ref="F7:G7"/>
    <mergeCell ref="F66:H66"/>
    <mergeCell ref="F8:G8"/>
    <mergeCell ref="F63:H63"/>
    <mergeCell ref="F9:G9"/>
    <mergeCell ref="F58:H58"/>
    <mergeCell ref="F41:G41"/>
    <mergeCell ref="F51:I51"/>
    <mergeCell ref="A20:B20"/>
    <mergeCell ref="A58:C58"/>
    <mergeCell ref="A39:B39"/>
    <mergeCell ref="F10:G10"/>
    <mergeCell ref="F16:G16"/>
    <mergeCell ref="F67:H67"/>
    <mergeCell ref="F24:G24"/>
    <mergeCell ref="A65:C65"/>
    <mergeCell ref="A16:B16"/>
    <mergeCell ref="F27:G27"/>
    <mergeCell ref="F39:G39"/>
    <mergeCell ref="A61:C61"/>
    <mergeCell ref="F64:H64"/>
    <mergeCell ref="F25:G25"/>
    <mergeCell ref="F26:G26"/>
    <mergeCell ref="F28:G28"/>
    <mergeCell ref="F31:G31"/>
    <mergeCell ref="F29:G29"/>
    <mergeCell ref="F40:G40"/>
    <mergeCell ref="F43:G43"/>
    <mergeCell ref="F18:J18"/>
    <mergeCell ref="A18:B18"/>
    <mergeCell ref="A36:B36"/>
    <mergeCell ref="F33:G33"/>
    <mergeCell ref="A57:C57"/>
    <mergeCell ref="F17:G17"/>
    <mergeCell ref="A12:B12"/>
    <mergeCell ref="A33:B33"/>
    <mergeCell ref="A34:B34"/>
    <mergeCell ref="A38:B38"/>
    <mergeCell ref="A40:B40"/>
    <mergeCell ref="A45:B45"/>
    <mergeCell ref="A43:B43"/>
    <mergeCell ref="F57:H57"/>
    <mergeCell ref="F52:I52"/>
    <mergeCell ref="F53:H53"/>
    <mergeCell ref="F54:H54"/>
    <mergeCell ref="A50:C50"/>
    <mergeCell ref="A1:J1"/>
    <mergeCell ref="A32:B32"/>
    <mergeCell ref="A4:D4"/>
    <mergeCell ref="A11:B11"/>
    <mergeCell ref="F19:G19"/>
    <mergeCell ref="F5:G5"/>
    <mergeCell ref="A19:B19"/>
    <mergeCell ref="A10:B10"/>
    <mergeCell ref="A13:B13"/>
    <mergeCell ref="F14:G14"/>
    <mergeCell ref="A28:B28"/>
    <mergeCell ref="F11:G11"/>
    <mergeCell ref="A21:B21"/>
    <mergeCell ref="A5:B5"/>
    <mergeCell ref="A8:B8"/>
    <mergeCell ref="F23:J23"/>
    <mergeCell ref="A15:B15"/>
    <mergeCell ref="A23:D23"/>
    <mergeCell ref="F32:G32"/>
    <mergeCell ref="A26:B26"/>
    <mergeCell ref="A27:B27"/>
    <mergeCell ref="A9:C9"/>
    <mergeCell ref="A7:B7"/>
    <mergeCell ref="A31:B31"/>
    <mergeCell ref="F74:I74"/>
    <mergeCell ref="F75:H75"/>
    <mergeCell ref="F76:I76"/>
    <mergeCell ref="F77:H77"/>
    <mergeCell ref="F78:I78"/>
    <mergeCell ref="F80:H80"/>
    <mergeCell ref="A2:J2"/>
    <mergeCell ref="F4:J4"/>
    <mergeCell ref="A59:C59"/>
    <mergeCell ref="A49:D49"/>
    <mergeCell ref="A41:B41"/>
    <mergeCell ref="F38:G38"/>
    <mergeCell ref="A37:B37"/>
    <mergeCell ref="F60:H60"/>
    <mergeCell ref="A14:B14"/>
    <mergeCell ref="F36:G36"/>
    <mergeCell ref="A17:B17"/>
    <mergeCell ref="A24:B24"/>
    <mergeCell ref="F13:G13"/>
    <mergeCell ref="A42:B42"/>
    <mergeCell ref="A44:B44"/>
    <mergeCell ref="A29:B29"/>
    <mergeCell ref="F34:G34"/>
    <mergeCell ref="F15:G15"/>
    <mergeCell ref="F93:H93"/>
    <mergeCell ref="F94:H94"/>
    <mergeCell ref="A62:D62"/>
    <mergeCell ref="A99:D99"/>
    <mergeCell ref="F101:I101"/>
    <mergeCell ref="A100:D100"/>
    <mergeCell ref="F102:I102"/>
    <mergeCell ref="F96:H96"/>
    <mergeCell ref="F92:H92"/>
    <mergeCell ref="A86:D86"/>
    <mergeCell ref="F88:I88"/>
    <mergeCell ref="F89:H89"/>
    <mergeCell ref="F91:I91"/>
    <mergeCell ref="F90:H90"/>
    <mergeCell ref="A88:C88"/>
    <mergeCell ref="A89:C89"/>
    <mergeCell ref="A91:C91"/>
    <mergeCell ref="A85:D85"/>
    <mergeCell ref="F87:I87"/>
    <mergeCell ref="A87:C87"/>
    <mergeCell ref="A72:D72"/>
    <mergeCell ref="A73:C73"/>
    <mergeCell ref="A74:C74"/>
    <mergeCell ref="F110:H110"/>
    <mergeCell ref="A109:D109"/>
    <mergeCell ref="F111:H111"/>
    <mergeCell ref="A103:C103"/>
    <mergeCell ref="A104:D104"/>
    <mergeCell ref="A101:C101"/>
    <mergeCell ref="F103:H103"/>
    <mergeCell ref="A102:C102"/>
    <mergeCell ref="F104:I104"/>
    <mergeCell ref="F105:H105"/>
    <mergeCell ref="F106:I106"/>
    <mergeCell ref="A105:C105"/>
    <mergeCell ref="F107:H107"/>
    <mergeCell ref="Y92:AC92"/>
    <mergeCell ref="A119:D119"/>
    <mergeCell ref="F121:H121"/>
    <mergeCell ref="F97:H97"/>
    <mergeCell ref="O92:S92"/>
    <mergeCell ref="Q93:R93"/>
    <mergeCell ref="O93:P93"/>
    <mergeCell ref="T92:X92"/>
    <mergeCell ref="A118:C118"/>
    <mergeCell ref="F120:H120"/>
    <mergeCell ref="A114:D114"/>
    <mergeCell ref="F116:I116"/>
    <mergeCell ref="A115:D115"/>
    <mergeCell ref="F95:H95"/>
    <mergeCell ref="F117:I117"/>
    <mergeCell ref="A116:C116"/>
    <mergeCell ref="F118:H118"/>
    <mergeCell ref="A117:C117"/>
    <mergeCell ref="F119:I119"/>
    <mergeCell ref="A106:C106"/>
    <mergeCell ref="F108:H108"/>
    <mergeCell ref="A107:C107"/>
    <mergeCell ref="F109:I109"/>
    <mergeCell ref="A108:C108"/>
    <mergeCell ref="F44:G44"/>
    <mergeCell ref="F45:G45"/>
    <mergeCell ref="F46:G46"/>
    <mergeCell ref="F47:G47"/>
    <mergeCell ref="F35:G35"/>
    <mergeCell ref="F37:G37"/>
    <mergeCell ref="A25:B25"/>
    <mergeCell ref="A30:B30"/>
    <mergeCell ref="A35:B35"/>
    <mergeCell ref="F42:G42"/>
  </mergeCells>
  <conditionalFormatting sqref="D65">
    <cfRule type="cellIs" dxfId="2" priority="3" operator="between">
      <formula>-0.5</formula>
      <formula>0.5</formula>
    </cfRule>
  </conditionalFormatting>
  <conditionalFormatting sqref="H19">
    <cfRule type="cellIs" dxfId="1" priority="1" operator="between">
      <formula>-0.01</formula>
      <formula>0.01</formula>
    </cfRule>
    <cfRule type="cellIs" dxfId="0" priority="2" operator="notBetween">
      <formula>-0.01</formula>
      <formula>0.01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4469-F730-48A7-A620-26B276650432}">
  <sheetPr codeName="Sheet8"/>
  <dimension ref="A1:K25"/>
  <sheetViews>
    <sheetView workbookViewId="0">
      <selection activeCell="E8" sqref="E8:F8"/>
    </sheetView>
  </sheetViews>
  <sheetFormatPr defaultRowHeight="14.4" x14ac:dyDescent="0.3"/>
  <sheetData>
    <row r="1" spans="1:11" x14ac:dyDescent="0.3">
      <c r="A1" s="61" t="s">
        <v>551</v>
      </c>
    </row>
    <row r="3" spans="1:11" x14ac:dyDescent="0.3">
      <c r="A3" s="150" t="s">
        <v>552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</row>
    <row r="4" spans="1:1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</row>
    <row r="5" spans="1:11" x14ac:dyDescent="0.3">
      <c r="A5" t="s">
        <v>555</v>
      </c>
    </row>
    <row r="6" spans="1:11" x14ac:dyDescent="0.3">
      <c r="A6" t="s">
        <v>558</v>
      </c>
      <c r="B6">
        <v>30</v>
      </c>
      <c r="D6" s="217" t="s">
        <v>568</v>
      </c>
      <c r="E6" s="217"/>
      <c r="F6" s="217"/>
      <c r="G6" s="217" t="s">
        <v>567</v>
      </c>
      <c r="H6" s="217"/>
    </row>
    <row r="7" spans="1:11" x14ac:dyDescent="0.3">
      <c r="A7" t="s">
        <v>559</v>
      </c>
      <c r="B7">
        <f>Dashboard_Monitoring!C25</f>
        <v>68.703269958496094</v>
      </c>
      <c r="D7" s="136" t="s">
        <v>564</v>
      </c>
      <c r="E7" s="150">
        <f>EXP(-B11/B12/B9)</f>
        <v>5.6483027649241604E-7</v>
      </c>
      <c r="F7" s="150"/>
      <c r="G7">
        <f>1-(1-E8*B6)^3</f>
        <v>0.97237271208507814</v>
      </c>
      <c r="I7" t="s">
        <v>566</v>
      </c>
    </row>
    <row r="8" spans="1:11" x14ac:dyDescent="0.3">
      <c r="A8" t="s">
        <v>560</v>
      </c>
      <c r="B8" s="59">
        <f>Dashboard_Monitoring!C32</f>
        <v>141.44039916992188</v>
      </c>
      <c r="D8" s="136" t="s">
        <v>565</v>
      </c>
      <c r="E8" s="150">
        <f>B10/B7*B8*E7</f>
        <v>2.3256482498898935E-2</v>
      </c>
      <c r="F8" s="150"/>
    </row>
    <row r="9" spans="1:11" x14ac:dyDescent="0.3">
      <c r="A9" t="s">
        <v>556</v>
      </c>
      <c r="B9">
        <f>Dashboard_Monitoring!C30+273</f>
        <v>418.02049255371094</v>
      </c>
    </row>
    <row r="10" spans="1:11" x14ac:dyDescent="0.3">
      <c r="A10" t="s">
        <v>562</v>
      </c>
      <c r="B10">
        <v>20000</v>
      </c>
    </row>
    <row r="11" spans="1:11" x14ac:dyDescent="0.3">
      <c r="A11" t="s">
        <v>563</v>
      </c>
      <c r="B11">
        <v>50000</v>
      </c>
    </row>
    <row r="12" spans="1:11" x14ac:dyDescent="0.3">
      <c r="A12" t="s">
        <v>561</v>
      </c>
      <c r="B12">
        <v>8.3140000000000001</v>
      </c>
    </row>
    <row r="17" spans="1:11" x14ac:dyDescent="0.3">
      <c r="A17" s="150" t="s">
        <v>569</v>
      </c>
      <c r="B17" s="150"/>
      <c r="C17" s="150"/>
      <c r="D17" s="150"/>
      <c r="E17" s="150"/>
      <c r="F17" s="150"/>
      <c r="G17" s="150"/>
      <c r="H17" s="150"/>
      <c r="I17" s="150"/>
      <c r="J17" s="150"/>
      <c r="K17" s="150"/>
    </row>
    <row r="18" spans="1:11" x14ac:dyDescent="0.3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</row>
    <row r="19" spans="1:11" x14ac:dyDescent="0.3">
      <c r="A19" t="s">
        <v>570</v>
      </c>
      <c r="B19" s="59">
        <f ca="1">Precipitation_Hydrate!C5/Precipitation_Hydrate!C8*1000</f>
        <v>321.08459049863399</v>
      </c>
      <c r="C19" t="s">
        <v>571</v>
      </c>
    </row>
    <row r="20" spans="1:11" x14ac:dyDescent="0.3">
      <c r="A20" t="s">
        <v>572</v>
      </c>
      <c r="B20">
        <v>6</v>
      </c>
      <c r="E20" t="s">
        <v>577</v>
      </c>
      <c r="F20">
        <f ca="1">B19*EXP(B20-B21/B22)</f>
        <v>72.868693245680049</v>
      </c>
      <c r="H20" s="150" t="s">
        <v>580</v>
      </c>
      <c r="I20">
        <f ca="1">F21*(1-EXP(-B23*F22*48))</f>
        <v>0.77296357360369217</v>
      </c>
    </row>
    <row r="21" spans="1:11" x14ac:dyDescent="0.3">
      <c r="A21" t="s">
        <v>573</v>
      </c>
      <c r="B21">
        <v>2500</v>
      </c>
      <c r="E21" t="s">
        <v>578</v>
      </c>
      <c r="F21">
        <f ca="1">(B19-F20)/B19</f>
        <v>0.7730545301706403</v>
      </c>
      <c r="H21" s="150"/>
    </row>
    <row r="22" spans="1:11" x14ac:dyDescent="0.3">
      <c r="A22" t="s">
        <v>575</v>
      </c>
      <c r="B22">
        <f>Dashboard_Monitoring!C35 +273</f>
        <v>334.08857345581055</v>
      </c>
      <c r="C22" t="s">
        <v>576</v>
      </c>
      <c r="E22" t="s">
        <v>584</v>
      </c>
      <c r="F22">
        <f ca="1">B24*B25</f>
        <v>75.397689686206988</v>
      </c>
      <c r="H22" s="150"/>
    </row>
    <row r="23" spans="1:11" x14ac:dyDescent="0.3">
      <c r="A23" t="s">
        <v>579</v>
      </c>
      <c r="B23">
        <v>2.5000000000000001E-3</v>
      </c>
    </row>
    <row r="24" spans="1:11" x14ac:dyDescent="0.3">
      <c r="A24" t="s">
        <v>582</v>
      </c>
      <c r="B24" s="59">
        <f ca="1">Precipitation_Hydrate!C12</f>
        <v>753.97689686206957</v>
      </c>
    </row>
    <row r="25" spans="1:11" x14ac:dyDescent="0.3">
      <c r="A25" t="s">
        <v>583</v>
      </c>
      <c r="B25">
        <v>0.1</v>
      </c>
      <c r="C25" t="s">
        <v>585</v>
      </c>
    </row>
  </sheetData>
  <mergeCells count="7">
    <mergeCell ref="A17:K18"/>
    <mergeCell ref="H20:H22"/>
    <mergeCell ref="A3:K4"/>
    <mergeCell ref="E7:F7"/>
    <mergeCell ref="E8:F8"/>
    <mergeCell ref="G6:H6"/>
    <mergeCell ref="D6:F6"/>
  </mergeCells>
  <hyperlinks>
    <hyperlink ref="A1" r:id="rId1" xr:uid="{4313830D-04BD-42FF-A091-9F4EF6900003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6DA4"/>
  </sheetPr>
  <dimension ref="A1:F40"/>
  <sheetViews>
    <sheetView showGridLines="0" workbookViewId="0">
      <pane ySplit="3" topLeftCell="A4" activePane="bottomLeft" state="frozen"/>
      <selection pane="bottomLeft" activeCell="C10" sqref="C10"/>
    </sheetView>
  </sheetViews>
  <sheetFormatPr defaultRowHeight="14.4" x14ac:dyDescent="0.3"/>
  <cols>
    <col min="1" max="1" width="5" customWidth="1"/>
    <col min="2" max="2" width="32" customWidth="1"/>
    <col min="3" max="3" width="20" customWidth="1"/>
    <col min="4" max="4" width="15" customWidth="1"/>
    <col min="5" max="6" width="28" customWidth="1"/>
  </cols>
  <sheetData>
    <row r="1" spans="1:6" ht="22.05" customHeight="1" x14ac:dyDescent="0.3">
      <c r="A1" s="179" t="s">
        <v>80</v>
      </c>
      <c r="B1" s="177"/>
      <c r="C1" s="177"/>
      <c r="D1" s="177"/>
      <c r="E1" s="177"/>
      <c r="F1" s="178"/>
    </row>
    <row r="2" spans="1:6" ht="22.05" customHeight="1" x14ac:dyDescent="0.3">
      <c r="A2" s="220" t="s">
        <v>81</v>
      </c>
      <c r="B2" s="177"/>
      <c r="C2" s="177"/>
      <c r="D2" s="177"/>
      <c r="E2" s="177"/>
      <c r="F2" s="178"/>
    </row>
    <row r="3" spans="1:6" x14ac:dyDescent="0.3">
      <c r="A3" s="5" t="s">
        <v>82</v>
      </c>
      <c r="B3" s="5" t="s">
        <v>83</v>
      </c>
      <c r="C3" s="5" t="s">
        <v>84</v>
      </c>
      <c r="D3" s="5" t="s">
        <v>85</v>
      </c>
      <c r="E3" s="5" t="s">
        <v>86</v>
      </c>
      <c r="F3" s="5" t="s">
        <v>87</v>
      </c>
    </row>
    <row r="4" spans="1:6" x14ac:dyDescent="0.3">
      <c r="A4" s="31">
        <v>1</v>
      </c>
      <c r="B4" s="6" t="s">
        <v>88</v>
      </c>
      <c r="C4" s="6" t="s">
        <v>89</v>
      </c>
      <c r="D4" s="32">
        <v>101.96</v>
      </c>
      <c r="E4" s="6" t="s">
        <v>90</v>
      </c>
      <c r="F4" s="6" t="s">
        <v>91</v>
      </c>
    </row>
    <row r="5" spans="1:6" x14ac:dyDescent="0.3">
      <c r="A5" s="33">
        <v>2</v>
      </c>
      <c r="B5" s="25" t="s">
        <v>92</v>
      </c>
      <c r="C5" s="25" t="s">
        <v>93</v>
      </c>
      <c r="D5" s="34">
        <v>60.09</v>
      </c>
      <c r="E5" s="25" t="s">
        <v>94</v>
      </c>
      <c r="F5" s="25" t="s">
        <v>91</v>
      </c>
    </row>
    <row r="6" spans="1:6" x14ac:dyDescent="0.3">
      <c r="A6" s="31">
        <v>3</v>
      </c>
      <c r="B6" s="6" t="s">
        <v>95</v>
      </c>
      <c r="C6" s="6" t="s">
        <v>96</v>
      </c>
      <c r="D6" s="32">
        <v>159.69999999999999</v>
      </c>
      <c r="E6" s="6" t="s">
        <v>97</v>
      </c>
      <c r="F6" s="6" t="s">
        <v>91</v>
      </c>
    </row>
    <row r="7" spans="1:6" x14ac:dyDescent="0.3">
      <c r="A7" s="33">
        <v>4</v>
      </c>
      <c r="B7" s="25" t="s">
        <v>98</v>
      </c>
      <c r="C7" s="25" t="s">
        <v>99</v>
      </c>
      <c r="D7" s="34">
        <v>79.87</v>
      </c>
      <c r="E7" s="25" t="s">
        <v>100</v>
      </c>
      <c r="F7" s="25" t="s">
        <v>91</v>
      </c>
    </row>
    <row r="8" spans="1:6" x14ac:dyDescent="0.3">
      <c r="A8" s="31">
        <v>5</v>
      </c>
      <c r="B8" s="6" t="s">
        <v>101</v>
      </c>
      <c r="C8" s="6" t="s">
        <v>102</v>
      </c>
      <c r="D8" s="32">
        <v>56.08</v>
      </c>
      <c r="E8" s="6" t="s">
        <v>103</v>
      </c>
      <c r="F8" s="6" t="s">
        <v>91</v>
      </c>
    </row>
    <row r="9" spans="1:6" x14ac:dyDescent="0.3">
      <c r="A9" s="33">
        <v>6</v>
      </c>
      <c r="B9" s="25" t="s">
        <v>104</v>
      </c>
      <c r="C9" s="25" t="s">
        <v>105</v>
      </c>
      <c r="D9" s="34">
        <v>40.299999999999997</v>
      </c>
      <c r="E9" s="25" t="s">
        <v>106</v>
      </c>
      <c r="F9" s="25" t="s">
        <v>91</v>
      </c>
    </row>
    <row r="10" spans="1:6" x14ac:dyDescent="0.3">
      <c r="A10" s="31">
        <v>7</v>
      </c>
      <c r="B10" s="6" t="s">
        <v>107</v>
      </c>
      <c r="C10" s="6" t="s">
        <v>108</v>
      </c>
      <c r="D10" s="32">
        <v>61.98</v>
      </c>
      <c r="E10" s="6" t="s">
        <v>109</v>
      </c>
      <c r="F10" s="6" t="s">
        <v>91</v>
      </c>
    </row>
    <row r="11" spans="1:6" x14ac:dyDescent="0.3">
      <c r="A11" s="33">
        <v>8</v>
      </c>
      <c r="B11" s="25" t="s">
        <v>110</v>
      </c>
      <c r="C11" s="25" t="s">
        <v>111</v>
      </c>
      <c r="D11" s="34">
        <v>94.2</v>
      </c>
      <c r="E11" s="25" t="s">
        <v>112</v>
      </c>
      <c r="F11" s="25" t="s">
        <v>91</v>
      </c>
    </row>
    <row r="12" spans="1:6" x14ac:dyDescent="0.3">
      <c r="A12" s="31">
        <v>9</v>
      </c>
      <c r="B12" s="6" t="s">
        <v>113</v>
      </c>
      <c r="C12" s="6" t="s">
        <v>114</v>
      </c>
      <c r="D12" s="32">
        <v>152</v>
      </c>
      <c r="E12" s="6" t="s">
        <v>115</v>
      </c>
      <c r="F12" s="6" t="s">
        <v>91</v>
      </c>
    </row>
    <row r="13" spans="1:6" x14ac:dyDescent="0.3">
      <c r="A13" s="33">
        <v>10</v>
      </c>
      <c r="B13" s="25" t="s">
        <v>116</v>
      </c>
      <c r="C13" s="25" t="s">
        <v>117</v>
      </c>
      <c r="D13" s="34">
        <v>39.99</v>
      </c>
      <c r="E13" s="25" t="s">
        <v>118</v>
      </c>
      <c r="F13" s="25" t="s">
        <v>119</v>
      </c>
    </row>
    <row r="14" spans="1:6" x14ac:dyDescent="0.3">
      <c r="A14" s="31">
        <v>11</v>
      </c>
      <c r="B14" s="6" t="s">
        <v>120</v>
      </c>
      <c r="C14" s="6" t="s">
        <v>121</v>
      </c>
      <c r="D14" s="32">
        <v>18.02</v>
      </c>
      <c r="E14" s="6" t="s">
        <v>122</v>
      </c>
      <c r="F14" s="6" t="s">
        <v>123</v>
      </c>
    </row>
    <row r="15" spans="1:6" x14ac:dyDescent="0.3">
      <c r="A15" s="33">
        <v>12</v>
      </c>
      <c r="B15" s="25" t="s">
        <v>124</v>
      </c>
      <c r="C15" s="25" t="s">
        <v>125</v>
      </c>
      <c r="D15" s="34">
        <v>81.97</v>
      </c>
      <c r="E15" s="25" t="s">
        <v>126</v>
      </c>
      <c r="F15" s="25" t="s">
        <v>127</v>
      </c>
    </row>
    <row r="16" spans="1:6" x14ac:dyDescent="0.3">
      <c r="A16" s="31">
        <v>13</v>
      </c>
      <c r="B16" s="6" t="s">
        <v>128</v>
      </c>
      <c r="C16" s="6" t="s">
        <v>129</v>
      </c>
      <c r="D16" s="32">
        <v>78</v>
      </c>
      <c r="E16" s="6" t="s">
        <v>130</v>
      </c>
      <c r="F16" s="6" t="s">
        <v>91</v>
      </c>
    </row>
    <row r="17" spans="1:6" x14ac:dyDescent="0.3">
      <c r="A17" s="31"/>
      <c r="B17" s="6" t="s">
        <v>88</v>
      </c>
      <c r="C17" s="6" t="s">
        <v>454</v>
      </c>
      <c r="D17" s="32">
        <v>101.96</v>
      </c>
      <c r="E17" s="6"/>
      <c r="F17" s="6"/>
    </row>
    <row r="18" spans="1:6" x14ac:dyDescent="0.3">
      <c r="A18" s="33">
        <v>14</v>
      </c>
      <c r="B18" s="25" t="s">
        <v>131</v>
      </c>
      <c r="C18" s="25" t="s">
        <v>132</v>
      </c>
      <c r="D18" s="34">
        <v>156.01</v>
      </c>
      <c r="E18" s="25" t="s">
        <v>133</v>
      </c>
      <c r="F18" s="25" t="s">
        <v>134</v>
      </c>
    </row>
    <row r="19" spans="1:6" x14ac:dyDescent="0.3">
      <c r="A19" s="31">
        <v>15</v>
      </c>
      <c r="B19" s="6" t="s">
        <v>135</v>
      </c>
      <c r="C19" s="6" t="s">
        <v>136</v>
      </c>
      <c r="D19" s="32">
        <v>119.98</v>
      </c>
      <c r="E19" s="6" t="s">
        <v>137</v>
      </c>
      <c r="F19" s="6" t="s">
        <v>134</v>
      </c>
    </row>
    <row r="20" spans="1:6" x14ac:dyDescent="0.3">
      <c r="A20" s="31"/>
      <c r="B20" s="25" t="s">
        <v>138</v>
      </c>
      <c r="C20" s="6" t="s">
        <v>344</v>
      </c>
      <c r="D20" s="32">
        <f>3*(D8-D29)+2*D25+2*(D26+4*D29)+(D30+D29)*4</f>
        <v>426.42</v>
      </c>
      <c r="E20" s="6" t="s">
        <v>345</v>
      </c>
      <c r="F20" s="6"/>
    </row>
    <row r="21" spans="1:6" x14ac:dyDescent="0.3">
      <c r="A21" s="33">
        <v>16</v>
      </c>
      <c r="B21" s="25" t="s">
        <v>138</v>
      </c>
      <c r="C21" s="25" t="s">
        <v>346</v>
      </c>
      <c r="D21" s="34">
        <f>2*D28+2*D25+2*D26+8*D29+(18.02)*2</f>
        <v>320.16000000000003</v>
      </c>
      <c r="E21" s="25" t="s">
        <v>139</v>
      </c>
      <c r="F21" s="25" t="s">
        <v>140</v>
      </c>
    </row>
    <row r="22" spans="1:6" x14ac:dyDescent="0.3">
      <c r="A22" s="31">
        <v>17</v>
      </c>
      <c r="B22" s="6" t="s">
        <v>141</v>
      </c>
      <c r="C22" s="6" t="s">
        <v>142</v>
      </c>
      <c r="D22" s="32">
        <v>258.17</v>
      </c>
      <c r="E22" s="6" t="s">
        <v>143</v>
      </c>
      <c r="F22" s="6" t="s">
        <v>134</v>
      </c>
    </row>
    <row r="23" spans="1:6" x14ac:dyDescent="0.3">
      <c r="A23" s="33">
        <v>18</v>
      </c>
      <c r="B23" s="25" t="s">
        <v>144</v>
      </c>
      <c r="C23" s="25" t="s">
        <v>145</v>
      </c>
      <c r="D23" s="34">
        <v>88.86</v>
      </c>
      <c r="E23" s="25" t="s">
        <v>146</v>
      </c>
      <c r="F23" s="25" t="s">
        <v>91</v>
      </c>
    </row>
    <row r="24" spans="1:6" ht="26.4" x14ac:dyDescent="0.3">
      <c r="A24" s="31">
        <v>19</v>
      </c>
      <c r="B24" s="6" t="s">
        <v>147</v>
      </c>
      <c r="C24" s="6" t="s">
        <v>148</v>
      </c>
      <c r="D24" s="32">
        <v>122.07</v>
      </c>
      <c r="E24" s="6" t="s">
        <v>149</v>
      </c>
      <c r="F24" s="6" t="s">
        <v>150</v>
      </c>
    </row>
    <row r="25" spans="1:6" x14ac:dyDescent="0.3">
      <c r="A25" s="33">
        <v>20</v>
      </c>
      <c r="B25" s="25" t="s">
        <v>151</v>
      </c>
      <c r="C25" s="25" t="s">
        <v>152</v>
      </c>
      <c r="D25" s="34">
        <v>26.98</v>
      </c>
      <c r="E25" s="25" t="s">
        <v>153</v>
      </c>
      <c r="F25" s="25" t="s">
        <v>154</v>
      </c>
    </row>
    <row r="26" spans="1:6" x14ac:dyDescent="0.3">
      <c r="A26" s="31">
        <v>21</v>
      </c>
      <c r="B26" s="6" t="s">
        <v>155</v>
      </c>
      <c r="C26" s="6" t="s">
        <v>156</v>
      </c>
      <c r="D26" s="32">
        <v>28.09</v>
      </c>
      <c r="E26" s="6" t="s">
        <v>153</v>
      </c>
      <c r="F26" s="6" t="s">
        <v>154</v>
      </c>
    </row>
    <row r="27" spans="1:6" x14ac:dyDescent="0.3">
      <c r="A27" s="33">
        <v>22</v>
      </c>
      <c r="B27" s="25" t="s">
        <v>157</v>
      </c>
      <c r="C27" s="25" t="s">
        <v>158</v>
      </c>
      <c r="D27" s="34">
        <v>55.85</v>
      </c>
      <c r="E27" s="25" t="s">
        <v>153</v>
      </c>
      <c r="F27" s="25" t="s">
        <v>154</v>
      </c>
    </row>
    <row r="28" spans="1:6" x14ac:dyDescent="0.3">
      <c r="A28" s="31">
        <v>23</v>
      </c>
      <c r="B28" s="6" t="s">
        <v>159</v>
      </c>
      <c r="C28" s="6" t="s">
        <v>160</v>
      </c>
      <c r="D28" s="32">
        <v>22.99</v>
      </c>
      <c r="E28" s="6" t="s">
        <v>153</v>
      </c>
      <c r="F28" s="6" t="s">
        <v>154</v>
      </c>
    </row>
    <row r="29" spans="1:6" x14ac:dyDescent="0.3">
      <c r="A29" s="33">
        <v>24</v>
      </c>
      <c r="B29" s="25" t="s">
        <v>161</v>
      </c>
      <c r="C29" s="25" t="s">
        <v>162</v>
      </c>
      <c r="D29" s="34">
        <v>16</v>
      </c>
      <c r="E29" s="25" t="s">
        <v>153</v>
      </c>
      <c r="F29" s="25" t="s">
        <v>154</v>
      </c>
    </row>
    <row r="30" spans="1:6" x14ac:dyDescent="0.3">
      <c r="A30" s="31">
        <v>25</v>
      </c>
      <c r="B30" s="6" t="s">
        <v>163</v>
      </c>
      <c r="C30" s="6" t="s">
        <v>164</v>
      </c>
      <c r="D30" s="32">
        <v>1.01</v>
      </c>
      <c r="E30" s="6" t="s">
        <v>153</v>
      </c>
      <c r="F30" s="6" t="s">
        <v>154</v>
      </c>
    </row>
    <row r="32" spans="1:6" ht="22.05" customHeight="1" x14ac:dyDescent="0.3">
      <c r="A32" s="179" t="s">
        <v>165</v>
      </c>
      <c r="B32" s="177"/>
      <c r="C32" s="177"/>
      <c r="D32" s="177"/>
      <c r="E32" s="177"/>
      <c r="F32" s="178"/>
    </row>
    <row r="33" spans="1:6" ht="26.4" x14ac:dyDescent="0.3">
      <c r="A33" s="183" t="s">
        <v>166</v>
      </c>
      <c r="B33" s="177"/>
      <c r="C33" s="178"/>
      <c r="D33" s="1" t="s">
        <v>167</v>
      </c>
      <c r="E33" s="1" t="s">
        <v>168</v>
      </c>
      <c r="F33" s="1" t="s">
        <v>169</v>
      </c>
    </row>
    <row r="34" spans="1:6" x14ac:dyDescent="0.3">
      <c r="A34" s="218" t="s">
        <v>170</v>
      </c>
      <c r="B34" s="177"/>
      <c r="C34" s="178"/>
      <c r="D34" s="35" t="s">
        <v>171</v>
      </c>
    </row>
    <row r="35" spans="1:6" x14ac:dyDescent="0.3">
      <c r="A35" s="219" t="s">
        <v>172</v>
      </c>
      <c r="B35" s="177"/>
      <c r="C35" s="178"/>
      <c r="D35" s="36" t="s">
        <v>173</v>
      </c>
    </row>
    <row r="36" spans="1:6" x14ac:dyDescent="0.3">
      <c r="A36" s="218" t="s">
        <v>174</v>
      </c>
      <c r="B36" s="177"/>
      <c r="C36" s="178"/>
      <c r="D36" s="35" t="s">
        <v>175</v>
      </c>
    </row>
    <row r="37" spans="1:6" x14ac:dyDescent="0.3">
      <c r="A37" s="219" t="s">
        <v>176</v>
      </c>
      <c r="B37" s="177"/>
      <c r="C37" s="178"/>
      <c r="D37" s="36" t="s">
        <v>177</v>
      </c>
    </row>
    <row r="38" spans="1:6" x14ac:dyDescent="0.3">
      <c r="A38" s="218" t="s">
        <v>178</v>
      </c>
      <c r="B38" s="177"/>
      <c r="C38" s="178"/>
      <c r="D38" s="35" t="s">
        <v>179</v>
      </c>
    </row>
    <row r="39" spans="1:6" x14ac:dyDescent="0.3">
      <c r="A39" s="219" t="s">
        <v>180</v>
      </c>
      <c r="B39" s="177"/>
      <c r="C39" s="178"/>
      <c r="D39" s="36" t="s">
        <v>181</v>
      </c>
    </row>
    <row r="40" spans="1:6" x14ac:dyDescent="0.3">
      <c r="A40" s="218" t="s">
        <v>182</v>
      </c>
      <c r="B40" s="177"/>
      <c r="C40" s="178"/>
      <c r="D40" s="35" t="s">
        <v>183</v>
      </c>
    </row>
  </sheetData>
  <mergeCells count="11">
    <mergeCell ref="A1:F1"/>
    <mergeCell ref="A36:C36"/>
    <mergeCell ref="A37:C37"/>
    <mergeCell ref="A32:F32"/>
    <mergeCell ref="A40:C40"/>
    <mergeCell ref="A2:F2"/>
    <mergeCell ref="A35:C35"/>
    <mergeCell ref="A38:C38"/>
    <mergeCell ref="A39:C39"/>
    <mergeCell ref="A34:C34"/>
    <mergeCell ref="A33:C3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03DD9-CBA9-41E4-A6C2-2FFA88666EDC}">
  <sheetPr codeName="Sheet3"/>
  <dimension ref="A1:N61"/>
  <sheetViews>
    <sheetView topLeftCell="A16" workbookViewId="0">
      <selection activeCell="C32" sqref="C32:D32"/>
    </sheetView>
  </sheetViews>
  <sheetFormatPr defaultRowHeight="14.4" x14ac:dyDescent="0.3"/>
  <cols>
    <col min="1" max="1" width="55" customWidth="1"/>
    <col min="2" max="2" width="30" customWidth="1"/>
    <col min="3" max="3" width="16" customWidth="1"/>
    <col min="4" max="4" width="12" customWidth="1"/>
    <col min="5" max="9" width="16" customWidth="1"/>
  </cols>
  <sheetData>
    <row r="1" spans="1:14" x14ac:dyDescent="0.3">
      <c r="A1" s="221" t="s">
        <v>184</v>
      </c>
      <c r="B1" s="221"/>
      <c r="C1" s="221"/>
      <c r="D1" s="221"/>
      <c r="E1" s="221"/>
      <c r="F1" s="221"/>
      <c r="G1" s="221"/>
      <c r="H1" s="221"/>
      <c r="I1" s="221"/>
      <c r="J1" s="62"/>
      <c r="K1" s="62"/>
      <c r="L1" s="62"/>
      <c r="M1" s="62"/>
      <c r="N1" s="62"/>
    </row>
    <row r="2" spans="1:14" x14ac:dyDescent="0.3">
      <c r="A2" s="222" t="s">
        <v>185</v>
      </c>
      <c r="B2" s="222"/>
      <c r="C2" s="222"/>
      <c r="D2" s="222"/>
      <c r="E2" s="222"/>
      <c r="F2" s="222"/>
      <c r="G2" s="222"/>
      <c r="H2" s="222"/>
      <c r="I2" s="222"/>
      <c r="J2" s="62"/>
      <c r="K2" s="62"/>
      <c r="L2" s="62"/>
      <c r="M2" s="62"/>
      <c r="N2" s="62"/>
    </row>
    <row r="3" spans="1:14" x14ac:dyDescent="0.3">
      <c r="A3" s="93" t="s">
        <v>186</v>
      </c>
      <c r="B3" s="93" t="s">
        <v>187</v>
      </c>
      <c r="C3" s="93" t="s">
        <v>188</v>
      </c>
      <c r="D3" s="93" t="s">
        <v>189</v>
      </c>
      <c r="E3" s="93" t="s">
        <v>190</v>
      </c>
      <c r="F3" s="93" t="s">
        <v>191</v>
      </c>
      <c r="G3" s="93" t="s">
        <v>192</v>
      </c>
      <c r="H3" s="93" t="s">
        <v>193</v>
      </c>
      <c r="I3" s="93" t="s">
        <v>194</v>
      </c>
      <c r="J3" s="62"/>
      <c r="K3" s="62"/>
      <c r="L3" s="62"/>
      <c r="M3" s="62"/>
      <c r="N3" s="62"/>
    </row>
    <row r="4" spans="1:14" x14ac:dyDescent="0.3">
      <c r="A4" s="92" t="s">
        <v>195</v>
      </c>
      <c r="B4" s="94"/>
      <c r="C4" s="92"/>
      <c r="D4" s="92"/>
      <c r="E4" s="92"/>
      <c r="F4" s="62"/>
      <c r="G4" s="62"/>
      <c r="H4" s="62"/>
      <c r="I4" s="62"/>
      <c r="J4" s="62"/>
      <c r="K4" s="62"/>
      <c r="L4" s="62"/>
      <c r="M4" s="62"/>
      <c r="N4" s="62"/>
    </row>
    <row r="5" spans="1:14" x14ac:dyDescent="0.3">
      <c r="A5" s="92" t="s">
        <v>196</v>
      </c>
      <c r="B5" s="94" t="s">
        <v>332</v>
      </c>
      <c r="C5" s="92">
        <f>Dashboard_Monitoring!C8*Dashboard_Monitoring!C10</f>
        <v>65.459897518157959</v>
      </c>
      <c r="D5" s="92">
        <v>101.96</v>
      </c>
      <c r="E5" s="92">
        <f t="shared" ref="E5:E15" si="0">IF(D5=0,0,C5/D5*1000)</f>
        <v>642.01547193171791</v>
      </c>
      <c r="F5" s="62"/>
      <c r="G5" s="62"/>
      <c r="H5" s="62"/>
      <c r="I5" s="62"/>
      <c r="J5" s="62"/>
      <c r="K5" s="62"/>
      <c r="L5" s="62"/>
      <c r="M5" s="62"/>
      <c r="N5" s="62"/>
    </row>
    <row r="6" spans="1:14" x14ac:dyDescent="0.3">
      <c r="A6" s="92" t="s">
        <v>198</v>
      </c>
      <c r="B6" s="94" t="s">
        <v>199</v>
      </c>
      <c r="C6" s="92">
        <f>Dashboard_Monitoring!C8*Dashboard_Monitoring!C11</f>
        <v>7.21284019947052</v>
      </c>
      <c r="D6" s="92">
        <v>60.09</v>
      </c>
      <c r="E6" s="92">
        <f t="shared" si="0"/>
        <v>120.03395239591478</v>
      </c>
      <c r="F6" s="62"/>
      <c r="G6" s="62"/>
      <c r="H6" s="62"/>
      <c r="I6" s="62"/>
      <c r="J6" s="62"/>
      <c r="K6" s="62"/>
      <c r="L6" s="62"/>
      <c r="M6" s="62"/>
      <c r="N6" s="62"/>
    </row>
    <row r="7" spans="1:14" x14ac:dyDescent="0.3">
      <c r="A7" s="92" t="s">
        <v>200</v>
      </c>
      <c r="B7" s="94" t="s">
        <v>332</v>
      </c>
      <c r="C7" s="92">
        <f>Dashboard_Monitoring!C8*Dashboard_Monitoring!C12</f>
        <v>16.716071963310242</v>
      </c>
      <c r="D7" s="92">
        <v>159.69999999999999</v>
      </c>
      <c r="E7" s="92">
        <f t="shared" si="0"/>
        <v>104.67170922548681</v>
      </c>
      <c r="F7" s="62"/>
      <c r="G7" s="62"/>
      <c r="H7" s="62"/>
      <c r="I7" s="62"/>
      <c r="J7" s="62"/>
      <c r="K7" s="62"/>
      <c r="L7" s="62"/>
      <c r="M7" s="62"/>
      <c r="N7" s="62"/>
    </row>
    <row r="8" spans="1:14" x14ac:dyDescent="0.3">
      <c r="A8" s="92" t="s">
        <v>202</v>
      </c>
      <c r="B8" s="94" t="s">
        <v>332</v>
      </c>
      <c r="C8" s="92">
        <f>Dashboard_Monitoring!C8*Dashboard_Monitoring!C13</f>
        <v>0.89765796661376951</v>
      </c>
      <c r="D8" s="92">
        <v>79.87</v>
      </c>
      <c r="E8" s="92">
        <f t="shared" si="0"/>
        <v>11.238987938071483</v>
      </c>
      <c r="F8" s="62"/>
      <c r="G8" s="62"/>
      <c r="H8" s="62"/>
      <c r="I8" s="62"/>
      <c r="J8" s="62"/>
      <c r="K8" s="62"/>
      <c r="L8" s="62"/>
      <c r="M8" s="62"/>
      <c r="N8" s="62"/>
    </row>
    <row r="9" spans="1:14" x14ac:dyDescent="0.3">
      <c r="A9" s="92" t="s">
        <v>102</v>
      </c>
      <c r="B9" s="94" t="s">
        <v>199</v>
      </c>
      <c r="C9" s="92">
        <f>Dashboard_Monitoring!C8*Dashboard_Monitoring!C14</f>
        <v>1.1732159435749054</v>
      </c>
      <c r="D9" s="92">
        <v>56.08</v>
      </c>
      <c r="E9" s="92">
        <f t="shared" si="0"/>
        <v>20.920398423232978</v>
      </c>
      <c r="F9" s="62"/>
      <c r="G9" s="62"/>
      <c r="H9" s="62"/>
      <c r="I9" s="62"/>
      <c r="J9" s="62"/>
      <c r="K9" s="62"/>
      <c r="L9" s="62"/>
      <c r="M9" s="62"/>
      <c r="N9" s="62"/>
    </row>
    <row r="10" spans="1:14" x14ac:dyDescent="0.3">
      <c r="A10" s="92" t="s">
        <v>105</v>
      </c>
      <c r="B10" s="94" t="s">
        <v>332</v>
      </c>
      <c r="C10" s="92">
        <f>Dashboard_Monitoring!C8*Dashboard_Monitoring!C15</f>
        <v>0.9589988350868226</v>
      </c>
      <c r="D10" s="92">
        <v>40.299999999999997</v>
      </c>
      <c r="E10" s="92">
        <f t="shared" si="0"/>
        <v>23.796497148556394</v>
      </c>
      <c r="F10" s="62"/>
      <c r="G10" s="62"/>
      <c r="H10" s="62"/>
      <c r="I10" s="62"/>
      <c r="J10" s="62"/>
      <c r="K10" s="62"/>
      <c r="L10" s="62"/>
      <c r="M10" s="62"/>
      <c r="N10" s="62"/>
    </row>
    <row r="11" spans="1:14" x14ac:dyDescent="0.3">
      <c r="A11" s="92" t="s">
        <v>108</v>
      </c>
      <c r="B11" s="94" t="s">
        <v>199</v>
      </c>
      <c r="C11" s="92">
        <f>Dashboard_Monitoring!C8*Dashboard_Monitoring!C16</f>
        <v>0.35053193736076355</v>
      </c>
      <c r="D11" s="92">
        <v>61.98</v>
      </c>
      <c r="E11" s="92">
        <f t="shared" si="0"/>
        <v>5.6555653010771794</v>
      </c>
      <c r="F11" s="62"/>
      <c r="G11" s="62"/>
      <c r="H11" s="62"/>
      <c r="I11" s="62"/>
      <c r="J11" s="62"/>
      <c r="K11" s="62"/>
      <c r="L11" s="62"/>
      <c r="M11" s="62"/>
      <c r="N11" s="62"/>
    </row>
    <row r="12" spans="1:14" x14ac:dyDescent="0.3">
      <c r="A12" s="92" t="s">
        <v>111</v>
      </c>
      <c r="B12" s="94" t="s">
        <v>332</v>
      </c>
      <c r="C12" s="92">
        <f>Dashboard_Monitoring!C8*Dashboard_Monitoring!C17</f>
        <v>0.29356091022491454</v>
      </c>
      <c r="D12" s="92">
        <v>94.2</v>
      </c>
      <c r="E12" s="92">
        <f t="shared" si="0"/>
        <v>3.1163578580139548</v>
      </c>
      <c r="F12" s="62"/>
      <c r="G12" s="62"/>
      <c r="H12" s="62"/>
      <c r="I12" s="62"/>
      <c r="J12" s="62"/>
      <c r="K12" s="62"/>
      <c r="L12" s="62"/>
      <c r="M12" s="62"/>
      <c r="N12" s="62"/>
    </row>
    <row r="13" spans="1:14" x14ac:dyDescent="0.3">
      <c r="A13" s="92" t="s">
        <v>114</v>
      </c>
      <c r="B13" s="94" t="s">
        <v>332</v>
      </c>
      <c r="C13" s="92">
        <f>Dashboard_Monitoring!C8*Dashboard_Monitoring!C18</f>
        <v>7.52642683982849E-2</v>
      </c>
      <c r="D13" s="92">
        <v>152</v>
      </c>
      <c r="E13" s="92">
        <f t="shared" si="0"/>
        <v>0.49515966051503224</v>
      </c>
      <c r="F13" s="62"/>
      <c r="G13" s="62"/>
      <c r="H13" s="62"/>
      <c r="I13" s="62"/>
      <c r="J13" s="62"/>
      <c r="K13" s="62"/>
      <c r="L13" s="62"/>
      <c r="M13" s="62"/>
      <c r="N13" s="62"/>
    </row>
    <row r="14" spans="1:14" x14ac:dyDescent="0.3">
      <c r="A14" s="92" t="s">
        <v>203</v>
      </c>
      <c r="B14" s="94" t="s">
        <v>332</v>
      </c>
      <c r="C14" s="92">
        <f>Dashboard_Monitoring!C8*Dashboard_Monitoring!C19</f>
        <v>26.861960457801828</v>
      </c>
      <c r="D14" s="92">
        <v>60</v>
      </c>
      <c r="E14" s="92">
        <f t="shared" si="0"/>
        <v>447.6993409633638</v>
      </c>
      <c r="F14" s="62"/>
      <c r="G14" s="62"/>
      <c r="H14" s="62"/>
      <c r="I14" s="62"/>
      <c r="J14" s="62"/>
      <c r="K14" s="62"/>
      <c r="L14" s="62"/>
      <c r="M14" s="62"/>
      <c r="N14" s="62"/>
    </row>
    <row r="15" spans="1:14" x14ac:dyDescent="0.3">
      <c r="A15" s="92" t="s">
        <v>205</v>
      </c>
      <c r="B15" s="94" t="s">
        <v>332</v>
      </c>
      <c r="C15" s="92">
        <f>Dashboard_Monitoring!C6*Dashboard_Monitoring!C7</f>
        <v>30</v>
      </c>
      <c r="D15" s="92">
        <v>18.02</v>
      </c>
      <c r="E15" s="92">
        <f t="shared" si="0"/>
        <v>1664.8168701442842</v>
      </c>
      <c r="F15" s="62"/>
      <c r="G15" s="62"/>
      <c r="H15" s="62"/>
      <c r="I15" s="62"/>
      <c r="J15" s="62"/>
      <c r="K15" s="62"/>
      <c r="L15" s="62"/>
      <c r="M15" s="62"/>
      <c r="N15" s="62"/>
    </row>
    <row r="16" spans="1:14" x14ac:dyDescent="0.3">
      <c r="A16" s="92" t="s">
        <v>207</v>
      </c>
      <c r="B16" s="94"/>
      <c r="C16" s="92">
        <f>SUM(C5:C15)</f>
        <v>150</v>
      </c>
      <c r="D16" s="92" t="s">
        <v>208</v>
      </c>
      <c r="E16" s="92">
        <f>SUM(E5:E15)</f>
        <v>3044.4603109902346</v>
      </c>
      <c r="F16" s="62"/>
      <c r="G16" s="62"/>
      <c r="H16" s="62"/>
      <c r="I16" s="62"/>
      <c r="J16" s="62"/>
      <c r="K16" s="62"/>
      <c r="L16" s="62"/>
      <c r="M16" s="62"/>
      <c r="N16" s="62"/>
    </row>
    <row r="17" spans="1:14" ht="14.4" customHeight="1" x14ac:dyDescent="0.35">
      <c r="A17" s="224" t="s">
        <v>427</v>
      </c>
      <c r="B17" s="225"/>
      <c r="C17" s="225"/>
      <c r="D17" s="225"/>
      <c r="E17" s="225"/>
      <c r="F17" s="225"/>
      <c r="G17" s="226" t="str">
        <f>IF(Dashboard_Monitoring!I3=0,"REGULAR WATER INFLOW","RECYCLED SPENT LIQUOR")</f>
        <v>RECYCLED SPENT LIQUOR</v>
      </c>
      <c r="H17" s="226"/>
      <c r="I17" s="227"/>
      <c r="J17" s="62"/>
      <c r="K17" s="62"/>
      <c r="L17" s="62"/>
      <c r="M17" s="62"/>
      <c r="N17" s="62"/>
    </row>
    <row r="18" spans="1:14" x14ac:dyDescent="0.3">
      <c r="A18" s="4" t="s">
        <v>210</v>
      </c>
      <c r="B18" s="4"/>
      <c r="C18">
        <f>Dashboard_Monitoring!C31*Dashboard_Monitoring!C8</f>
        <v>360</v>
      </c>
      <c r="D18">
        <v>18.02</v>
      </c>
    </row>
    <row r="19" spans="1:14" ht="14.4" customHeight="1" x14ac:dyDescent="0.3">
      <c r="A19" s="4" t="s">
        <v>211</v>
      </c>
      <c r="B19" s="4"/>
      <c r="C19">
        <f>Dashboard_Monitoring!C6*Dashboard_Monitoring!C7</f>
        <v>30</v>
      </c>
    </row>
    <row r="20" spans="1:14" x14ac:dyDescent="0.3">
      <c r="A20" s="21" t="s">
        <v>212</v>
      </c>
      <c r="B20" s="10"/>
      <c r="C20">
        <f>MAX(0,C18-C19)</f>
        <v>330</v>
      </c>
      <c r="H20" t="s">
        <v>488</v>
      </c>
      <c r="I20" t="s">
        <v>489</v>
      </c>
    </row>
    <row r="21" spans="1:14" x14ac:dyDescent="0.3">
      <c r="A21" s="21" t="s">
        <v>388</v>
      </c>
      <c r="B21" s="95"/>
      <c r="H21">
        <f ca="1">E31</f>
        <v>1273.2819130075488</v>
      </c>
    </row>
    <row r="22" spans="1:14" x14ac:dyDescent="0.3">
      <c r="A22" s="228" t="s">
        <v>432</v>
      </c>
      <c r="B22" s="229"/>
      <c r="C22" s="229"/>
      <c r="D22" s="229"/>
      <c r="E22" s="229"/>
      <c r="F22" s="229"/>
    </row>
    <row r="23" spans="1:14" x14ac:dyDescent="0.3">
      <c r="A23" s="113" t="s">
        <v>394</v>
      </c>
      <c r="B23" s="95"/>
      <c r="C23">
        <f ca="1">'SPENT LIQUOR CONDITIONING'!C56</f>
        <v>330</v>
      </c>
      <c r="H23">
        <f>'SPENT LIQUOR CONDITIONING'!H56</f>
        <v>0</v>
      </c>
    </row>
    <row r="24" spans="1:14" x14ac:dyDescent="0.3">
      <c r="A24" s="71" t="s">
        <v>414</v>
      </c>
      <c r="B24" s="95"/>
      <c r="C24">
        <f ca="1">'SPENT LIQUOR CONDITIONING'!C57</f>
        <v>50.466211588391722</v>
      </c>
      <c r="D24">
        <f>Molar_Base_Data!D13</f>
        <v>39.99</v>
      </c>
      <c r="E24">
        <f ca="1">C24/D24*1000</f>
        <v>1261.9707824053942</v>
      </c>
      <c r="H24">
        <f>'SPENT LIQUOR CONDITIONING'!H57</f>
        <v>0</v>
      </c>
      <c r="I24">
        <f>Molar_Base_Data!I13</f>
        <v>0</v>
      </c>
      <c r="J24" t="e">
        <f>H24/I24*1000</f>
        <v>#DIV/0!</v>
      </c>
    </row>
    <row r="25" spans="1:14" x14ac:dyDescent="0.3">
      <c r="A25" s="71" t="s">
        <v>435</v>
      </c>
      <c r="B25" s="95"/>
      <c r="C25">
        <f ca="1">'SPENT LIQUOR CONDITIONING'!C58</f>
        <v>152.92791390421735</v>
      </c>
      <c r="H25">
        <f>'SPENT LIQUOR CONDITIONING'!H58</f>
        <v>0</v>
      </c>
    </row>
    <row r="26" spans="1:14" x14ac:dyDescent="0.3">
      <c r="A26" s="71" t="s">
        <v>395</v>
      </c>
      <c r="B26" s="95"/>
      <c r="C26">
        <f ca="1">'SPENT LIQUOR CONDITIONING'!C60</f>
        <v>28.217804900189769</v>
      </c>
      <c r="D26">
        <f>Molar_Base_Data!D15</f>
        <v>81.97</v>
      </c>
      <c r="E26">
        <f ca="1">C26/D26*1000</f>
        <v>344.24551543479043</v>
      </c>
      <c r="H26">
        <f>'SPENT LIQUOR CONDITIONING'!H60</f>
        <v>0</v>
      </c>
      <c r="I26">
        <f>Molar_Base_Data!I15</f>
        <v>0</v>
      </c>
      <c r="J26" t="e">
        <f>H26/I26*1000</f>
        <v>#DIV/0!</v>
      </c>
    </row>
    <row r="27" spans="1:14" x14ac:dyDescent="0.3">
      <c r="A27" s="6" t="s">
        <v>426</v>
      </c>
      <c r="B27" s="95"/>
      <c r="C27">
        <f ca="1">'SPENT LIQUOR CONDITIONING'!C61</f>
        <v>2.1261450741713115</v>
      </c>
      <c r="D27">
        <f>56.08+18.02</f>
        <v>74.099999999999994</v>
      </c>
      <c r="E27">
        <f ca="1">C27/D27*1000</f>
        <v>28.692915980719455</v>
      </c>
      <c r="H27">
        <f>'SPENT LIQUOR CONDITIONING'!H61</f>
        <v>0</v>
      </c>
      <c r="I27">
        <f>56.08+18.02</f>
        <v>74.099999999999994</v>
      </c>
      <c r="J27">
        <f>H27/I27*1000</f>
        <v>0</v>
      </c>
    </row>
    <row r="28" spans="1:14" x14ac:dyDescent="0.3">
      <c r="A28" s="228" t="s">
        <v>433</v>
      </c>
      <c r="B28" s="229"/>
      <c r="C28" s="229"/>
      <c r="D28" s="229"/>
      <c r="E28" s="229"/>
      <c r="F28" s="229"/>
    </row>
    <row r="29" spans="1:14" x14ac:dyDescent="0.3">
      <c r="A29" s="6" t="s">
        <v>434</v>
      </c>
      <c r="B29" s="95"/>
      <c r="C29" s="59">
        <f ca="1">C23+C19</f>
        <v>360</v>
      </c>
    </row>
    <row r="30" spans="1:14" x14ac:dyDescent="0.3">
      <c r="A30" s="71" t="s">
        <v>415</v>
      </c>
      <c r="B30" s="95"/>
      <c r="C30" s="59">
        <f ca="1">(C24+C44)/C29*1000</f>
        <v>141.44039916992188</v>
      </c>
    </row>
    <row r="31" spans="1:14" x14ac:dyDescent="0.3">
      <c r="A31" s="71" t="s">
        <v>414</v>
      </c>
      <c r="B31" s="95"/>
      <c r="C31" s="59">
        <f ca="1">C29*C30/1000</f>
        <v>50.918543701171878</v>
      </c>
      <c r="D31" s="91">
        <f>Molar_Base_Data!D13</f>
        <v>39.99</v>
      </c>
      <c r="E31">
        <f ca="1">C31/D31*1000</f>
        <v>1273.2819130075488</v>
      </c>
    </row>
    <row r="32" spans="1:14" x14ac:dyDescent="0.3">
      <c r="A32" s="71" t="s">
        <v>440</v>
      </c>
      <c r="B32" s="95">
        <f ca="1">E34/E33</f>
        <v>0.41332734125349824</v>
      </c>
      <c r="C32" s="223" t="str">
        <f ca="1">IF(B32=Dashboard_Monitoring!C26,"SUFFICIENT","INSUFFICIENT")</f>
        <v>INSUFFICIENT</v>
      </c>
      <c r="D32" s="223"/>
      <c r="E32" s="129"/>
      <c r="F32" s="129"/>
    </row>
    <row r="33" spans="1:9" x14ac:dyDescent="0.3">
      <c r="A33" s="71" t="s">
        <v>441</v>
      </c>
      <c r="B33" s="95"/>
      <c r="C33" s="59"/>
      <c r="E33">
        <f>E6</f>
        <v>120.03395239591478</v>
      </c>
    </row>
    <row r="34" spans="1:9" x14ac:dyDescent="0.3">
      <c r="A34" s="71" t="s">
        <v>481</v>
      </c>
      <c r="B34" s="95"/>
      <c r="C34" s="59"/>
      <c r="E34">
        <f ca="1">E9+E27</f>
        <v>49.61331440395243</v>
      </c>
    </row>
    <row r="35" spans="1:9" x14ac:dyDescent="0.3">
      <c r="A35" s="71" t="s">
        <v>482</v>
      </c>
      <c r="B35" s="95"/>
      <c r="C35" s="59"/>
    </row>
    <row r="36" spans="1:9" x14ac:dyDescent="0.3">
      <c r="A36" s="21" t="s">
        <v>337</v>
      </c>
      <c r="B36" s="95"/>
      <c r="C36">
        <f ca="1">E36*D36/1000</f>
        <v>5.2954901886618284</v>
      </c>
      <c r="D36">
        <f>D9</f>
        <v>56.08</v>
      </c>
      <c r="E36">
        <f ca="1">E33*Dashboard_Monitoring!C26-E34</f>
        <v>94.427428471145291</v>
      </c>
    </row>
    <row r="37" spans="1:9" x14ac:dyDescent="0.3">
      <c r="A37" s="21" t="s">
        <v>480</v>
      </c>
      <c r="B37" s="95"/>
      <c r="C37">
        <f ca="1">E37*D37/1000</f>
        <v>10.673419047044741</v>
      </c>
      <c r="D37" s="91">
        <f>D27</f>
        <v>74.099999999999994</v>
      </c>
      <c r="E37">
        <f ca="1">E34+E36</f>
        <v>144.04074287509772</v>
      </c>
    </row>
    <row r="38" spans="1:9" x14ac:dyDescent="0.3">
      <c r="A38" s="21" t="s">
        <v>483</v>
      </c>
      <c r="B38" s="95">
        <f ca="1">E37/E33</f>
        <v>1.2</v>
      </c>
      <c r="C38" s="230" t="str">
        <f ca="1">IF(B38=Dashboard_Monitoring!C26,"SUFFICIENT","INSUFFICIENT")</f>
        <v>SUFFICIENT</v>
      </c>
      <c r="D38" s="230"/>
    </row>
    <row r="39" spans="1:9" x14ac:dyDescent="0.3">
      <c r="A39" s="21"/>
      <c r="B39" s="95"/>
    </row>
    <row r="40" spans="1:9" x14ac:dyDescent="0.3">
      <c r="A40" s="21"/>
      <c r="B40" s="95"/>
    </row>
    <row r="41" spans="1:9" x14ac:dyDescent="0.3">
      <c r="A41" s="21"/>
      <c r="B41" s="95"/>
    </row>
    <row r="42" spans="1:9" x14ac:dyDescent="0.3">
      <c r="A42" s="21"/>
      <c r="B42" s="95"/>
    </row>
    <row r="43" spans="1:9" x14ac:dyDescent="0.3">
      <c r="A43" s="184" t="s">
        <v>451</v>
      </c>
      <c r="B43" s="177"/>
      <c r="C43" s="177"/>
      <c r="D43" s="177"/>
      <c r="E43" s="177"/>
      <c r="F43" s="177"/>
      <c r="G43" s="177"/>
      <c r="H43" s="177"/>
      <c r="I43" s="178"/>
    </row>
    <row r="44" spans="1:9" x14ac:dyDescent="0.3">
      <c r="A44" s="16" t="s">
        <v>336</v>
      </c>
      <c r="B44" s="16"/>
      <c r="C44">
        <f>E44*Molar_Base_Data!D13/1000</f>
        <v>0.45233211278015284</v>
      </c>
      <c r="E44">
        <f>2*E11</f>
        <v>11.311130602154359</v>
      </c>
    </row>
    <row r="45" spans="1:9" ht="14.4" customHeight="1" x14ac:dyDescent="0.3">
      <c r="A45" s="16" t="s">
        <v>335</v>
      </c>
      <c r="B45" s="57"/>
      <c r="C45" s="57">
        <f ca="1">E45*(Molar_Base_Data!D8+18.02)/1000</f>
        <v>10.673419047044741</v>
      </c>
      <c r="D45" s="57"/>
      <c r="E45" s="57">
        <f ca="1">E37</f>
        <v>144.04074287509772</v>
      </c>
      <c r="F45" s="57"/>
      <c r="G45" s="57"/>
      <c r="H45" s="57"/>
      <c r="I45" s="58"/>
    </row>
    <row r="46" spans="1:9" ht="39.6" x14ac:dyDescent="0.3">
      <c r="A46" s="16" t="s">
        <v>342</v>
      </c>
      <c r="B46" t="s">
        <v>339</v>
      </c>
      <c r="C46">
        <f ca="1">D46*E46/1000</f>
        <v>4.616217727661132</v>
      </c>
      <c r="D46">
        <f>D6</f>
        <v>60.09</v>
      </c>
      <c r="E46">
        <f ca="1">E47/3*2</f>
        <v>76.821729533385451</v>
      </c>
      <c r="G46" t="s">
        <v>459</v>
      </c>
      <c r="H46" t="s">
        <v>460</v>
      </c>
    </row>
    <row r="47" spans="1:9" x14ac:dyDescent="0.3">
      <c r="A47" s="16" t="s">
        <v>340</v>
      </c>
      <c r="C47">
        <f ca="1">D47*E47/1000</f>
        <v>8.5387352376357928</v>
      </c>
      <c r="D47">
        <f>(D9+18.02)</f>
        <v>74.099999999999994</v>
      </c>
      <c r="E47">
        <f ca="1">E45*Dashboard_Monitoring!C27</f>
        <v>115.23259430007818</v>
      </c>
      <c r="G47">
        <f>E5*2</f>
        <v>1284.0309438634358</v>
      </c>
      <c r="H47">
        <f ca="1">E57*2</f>
        <v>1130.3874847966649</v>
      </c>
    </row>
    <row r="48" spans="1:9" x14ac:dyDescent="0.3">
      <c r="A48" s="16" t="s">
        <v>455</v>
      </c>
      <c r="C48">
        <f ca="1">E48*D48/1000</f>
        <v>7.8327435432239803</v>
      </c>
      <c r="D48" s="91">
        <f>Molar_Base_Data!D17</f>
        <v>101.96</v>
      </c>
      <c r="E48">
        <f ca="1">E46</f>
        <v>76.821729533385451</v>
      </c>
      <c r="G48">
        <f ca="1">E26</f>
        <v>344.24551543479043</v>
      </c>
      <c r="H48">
        <f ca="1">G48</f>
        <v>344.24551543479043</v>
      </c>
    </row>
    <row r="49" spans="1:9" x14ac:dyDescent="0.3">
      <c r="A49" s="16" t="s">
        <v>347</v>
      </c>
      <c r="C49">
        <f ca="1">E49*18.02/1000</f>
        <v>2.6975274733346719</v>
      </c>
      <c r="E49">
        <f ca="1">E44/2+E45</f>
        <v>149.69630817617491</v>
      </c>
      <c r="H49">
        <f ca="1">E48*2</f>
        <v>153.6434590667709</v>
      </c>
    </row>
    <row r="50" spans="1:9" x14ac:dyDescent="0.3">
      <c r="A50" s="16" t="s">
        <v>338</v>
      </c>
      <c r="B50" s="15">
        <f>Dashboard_Monitoring!C27</f>
        <v>0.8</v>
      </c>
      <c r="C50">
        <f ca="1">D50*E50/1000</f>
        <v>16.379160953813113</v>
      </c>
      <c r="D50" s="91">
        <f>Molar_Base_Data!D20</f>
        <v>426.42</v>
      </c>
      <c r="E50">
        <f ca="1">E47/3</f>
        <v>38.410864766692725</v>
      </c>
      <c r="H50">
        <f ca="1">H47+H49</f>
        <v>1284.0309438634358</v>
      </c>
    </row>
    <row r="51" spans="1:9" ht="26.4" x14ac:dyDescent="0.3">
      <c r="A51" s="16" t="s">
        <v>343</v>
      </c>
      <c r="C51">
        <f ca="1">E50*18.02/1000*3</f>
        <v>2.0764913492874086</v>
      </c>
      <c r="E51">
        <f ca="1">E50*3</f>
        <v>115.23259430007818</v>
      </c>
    </row>
    <row r="52" spans="1:9" x14ac:dyDescent="0.3">
      <c r="A52" s="221" t="s">
        <v>348</v>
      </c>
      <c r="B52" s="221"/>
      <c r="C52" s="221"/>
      <c r="D52" s="221"/>
      <c r="E52" s="221"/>
      <c r="F52" s="221"/>
      <c r="G52" s="221"/>
      <c r="H52" s="221"/>
      <c r="I52" s="221"/>
    </row>
    <row r="53" spans="1:9" x14ac:dyDescent="0.3">
      <c r="A53" t="s">
        <v>349</v>
      </c>
      <c r="C53">
        <f ca="1">C49-C51</f>
        <v>0.62103612404726327</v>
      </c>
    </row>
    <row r="54" spans="1:9" x14ac:dyDescent="0.3">
      <c r="A54" t="s">
        <v>350</v>
      </c>
      <c r="C54">
        <f ca="1">C6-C46</f>
        <v>2.596622471809388</v>
      </c>
    </row>
    <row r="55" spans="1:9" x14ac:dyDescent="0.3">
      <c r="A55" t="s">
        <v>495</v>
      </c>
      <c r="C55">
        <f ca="1">C50</f>
        <v>16.379160953813113</v>
      </c>
    </row>
    <row r="56" spans="1:9" x14ac:dyDescent="0.3">
      <c r="A56" s="217" t="s">
        <v>363</v>
      </c>
      <c r="B56" s="217"/>
      <c r="C56" s="217"/>
      <c r="D56" s="217"/>
      <c r="E56" s="217"/>
      <c r="F56" s="217"/>
      <c r="G56" s="217"/>
      <c r="H56" s="217"/>
      <c r="I56" s="217"/>
    </row>
    <row r="57" spans="1:9" x14ac:dyDescent="0.3">
      <c r="A57" s="99" t="s">
        <v>461</v>
      </c>
      <c r="B57" s="99"/>
      <c r="C57" s="99">
        <f ca="1">C5-C48</f>
        <v>57.627153974933975</v>
      </c>
      <c r="D57" s="99">
        <f>D5</f>
        <v>101.96</v>
      </c>
      <c r="E57" s="99">
        <f ca="1">C57/D57*1000</f>
        <v>565.19374239833246</v>
      </c>
      <c r="F57" s="99"/>
      <c r="G57" s="99"/>
      <c r="H57" s="99"/>
      <c r="I57" s="99"/>
    </row>
    <row r="58" spans="1:9" x14ac:dyDescent="0.3">
      <c r="A58" s="92" t="s">
        <v>364</v>
      </c>
      <c r="B58" s="94" t="s">
        <v>199</v>
      </c>
      <c r="C58" s="92">
        <f ca="1">C6-C46</f>
        <v>2.596622471809388</v>
      </c>
      <c r="D58" s="92">
        <v>60.09</v>
      </c>
      <c r="E58" s="92">
        <f t="shared" ref="E58:E60" ca="1" si="1">IF(D58=0,0,C58/D58*1000)</f>
        <v>43.212222862529337</v>
      </c>
    </row>
    <row r="59" spans="1:9" x14ac:dyDescent="0.3">
      <c r="A59" s="92" t="s">
        <v>365</v>
      </c>
      <c r="B59" s="94" t="s">
        <v>199</v>
      </c>
      <c r="C59" s="92">
        <f ca="1">C45-C47</f>
        <v>2.1346838094089478</v>
      </c>
      <c r="D59" s="92"/>
      <c r="E59" s="92">
        <f t="shared" si="1"/>
        <v>0</v>
      </c>
    </row>
    <row r="60" spans="1:9" x14ac:dyDescent="0.3">
      <c r="A60" s="92" t="s">
        <v>384</v>
      </c>
      <c r="B60" s="94" t="s">
        <v>199</v>
      </c>
      <c r="C60" s="92">
        <f>C44</f>
        <v>0.45233211278015284</v>
      </c>
      <c r="D60" s="102">
        <f>Molar_Base_Data!D13</f>
        <v>39.99</v>
      </c>
      <c r="E60" s="92">
        <f t="shared" si="1"/>
        <v>11.311130602154359</v>
      </c>
      <c r="H60" s="59">
        <f ca="1">C29</f>
        <v>360</v>
      </c>
    </row>
    <row r="61" spans="1:9" x14ac:dyDescent="0.3">
      <c r="A61" s="92" t="s">
        <v>528</v>
      </c>
      <c r="C61">
        <f ca="1">C18-C53</f>
        <v>359.37896387595276</v>
      </c>
    </row>
  </sheetData>
  <mergeCells count="11">
    <mergeCell ref="A1:I1"/>
    <mergeCell ref="A2:I2"/>
    <mergeCell ref="C32:D32"/>
    <mergeCell ref="A56:I56"/>
    <mergeCell ref="A17:F17"/>
    <mergeCell ref="G17:I17"/>
    <mergeCell ref="A22:F22"/>
    <mergeCell ref="A28:F28"/>
    <mergeCell ref="A43:I43"/>
    <mergeCell ref="A52:I52"/>
    <mergeCell ref="C38:D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4CADE0"/>
  </sheetPr>
  <dimension ref="A1:I61"/>
  <sheetViews>
    <sheetView showGridLines="0" workbookViewId="0">
      <pane ySplit="3" topLeftCell="A50" activePane="bottomLeft" state="frozen"/>
      <selection pane="bottomLeft" activeCell="A55" sqref="A55:I55"/>
    </sheetView>
  </sheetViews>
  <sheetFormatPr defaultRowHeight="14.4" x14ac:dyDescent="0.3"/>
  <cols>
    <col min="1" max="1" width="55" customWidth="1"/>
    <col min="2" max="2" width="30" customWidth="1"/>
    <col min="3" max="3" width="16" customWidth="1"/>
    <col min="4" max="4" width="12" customWidth="1"/>
    <col min="5" max="9" width="16" customWidth="1"/>
  </cols>
  <sheetData>
    <row r="1" spans="1:9" ht="22.05" customHeight="1" x14ac:dyDescent="0.3">
      <c r="A1" s="179" t="s">
        <v>184</v>
      </c>
      <c r="B1" s="177"/>
      <c r="C1" s="177"/>
      <c r="D1" s="177"/>
      <c r="E1" s="177"/>
      <c r="F1" s="177"/>
      <c r="G1" s="177"/>
      <c r="H1" s="177"/>
      <c r="I1" s="178"/>
    </row>
    <row r="2" spans="1:9" ht="22.05" customHeight="1" x14ac:dyDescent="0.3">
      <c r="A2" s="220" t="s">
        <v>185</v>
      </c>
      <c r="B2" s="177"/>
      <c r="C2" s="177"/>
      <c r="D2" s="177"/>
      <c r="E2" s="177"/>
      <c r="F2" s="177"/>
      <c r="G2" s="177"/>
      <c r="H2" s="177"/>
      <c r="I2" s="178"/>
    </row>
    <row r="3" spans="1:9" ht="45" customHeight="1" x14ac:dyDescent="0.3">
      <c r="A3" s="5" t="s">
        <v>186</v>
      </c>
      <c r="B3" s="5" t="s">
        <v>187</v>
      </c>
      <c r="C3" s="5" t="s">
        <v>188</v>
      </c>
      <c r="D3" s="5" t="s">
        <v>189</v>
      </c>
      <c r="E3" s="5" t="s">
        <v>190</v>
      </c>
      <c r="F3" s="5" t="s">
        <v>191</v>
      </c>
      <c r="G3" s="5" t="s">
        <v>192</v>
      </c>
      <c r="H3" s="5" t="s">
        <v>193</v>
      </c>
      <c r="I3" s="5" t="s">
        <v>194</v>
      </c>
    </row>
    <row r="4" spans="1:9" ht="22.05" customHeight="1" x14ac:dyDescent="0.3">
      <c r="A4" s="220" t="s">
        <v>385</v>
      </c>
      <c r="B4" s="177"/>
      <c r="C4" s="177"/>
      <c r="D4" s="177"/>
      <c r="E4" s="177"/>
      <c r="F4" s="177"/>
      <c r="G4" s="177"/>
      <c r="H4" s="177"/>
      <c r="I4" s="178"/>
    </row>
    <row r="5" spans="1:9" x14ac:dyDescent="0.3">
      <c r="A5" s="6" t="s">
        <v>196</v>
      </c>
      <c r="B5" s="6" t="s">
        <v>197</v>
      </c>
      <c r="C5" s="37">
        <f ca="1">'Pre-Desilication_Balance'!C57</f>
        <v>57.627153974933975</v>
      </c>
      <c r="D5" s="38">
        <v>101.96</v>
      </c>
      <c r="E5" s="37">
        <f t="shared" ref="E5:E15" ca="1" si="0">IF(D5=0,0,C5/D5*1000)</f>
        <v>565.19374239833246</v>
      </c>
    </row>
    <row r="6" spans="1:9" x14ac:dyDescent="0.3">
      <c r="A6" s="25" t="s">
        <v>198</v>
      </c>
      <c r="B6" s="25" t="s">
        <v>199</v>
      </c>
      <c r="C6" s="39">
        <f ca="1">Dashboard_Monitoring!C8*Dashboard_Monitoring!C11-'Pre-Desilication_Balance'!C46</f>
        <v>2.596622471809388</v>
      </c>
      <c r="D6" s="40">
        <v>60.09</v>
      </c>
      <c r="E6" s="39">
        <f t="shared" ca="1" si="0"/>
        <v>43.212222862529337</v>
      </c>
      <c r="G6" t="s">
        <v>462</v>
      </c>
      <c r="H6" t="s">
        <v>460</v>
      </c>
    </row>
    <row r="7" spans="1:9" x14ac:dyDescent="0.3">
      <c r="A7" s="6" t="s">
        <v>200</v>
      </c>
      <c r="B7" s="6" t="s">
        <v>201</v>
      </c>
      <c r="C7" s="37">
        <f>Dashboard_Monitoring!C8*Dashboard_Monitoring!C12</f>
        <v>16.716071963310242</v>
      </c>
      <c r="D7" s="38">
        <v>159.69999999999999</v>
      </c>
      <c r="E7" s="37">
        <f t="shared" si="0"/>
        <v>104.67170922548681</v>
      </c>
      <c r="G7" s="59">
        <f ca="1">E5*2</f>
        <v>1130.3874847966649</v>
      </c>
      <c r="H7" s="59">
        <f ca="1">C56/'Pre-Desilication_Balance'!D26*1000</f>
        <v>1443.4034597335537</v>
      </c>
    </row>
    <row r="8" spans="1:9" x14ac:dyDescent="0.3">
      <c r="A8" s="25" t="s">
        <v>202</v>
      </c>
      <c r="B8" s="25" t="s">
        <v>201</v>
      </c>
      <c r="C8" s="39">
        <f>Dashboard_Monitoring!C8*Dashboard_Monitoring!C13</f>
        <v>0.89765796661376951</v>
      </c>
      <c r="D8" s="40">
        <v>79.87</v>
      </c>
      <c r="E8" s="39">
        <f t="shared" si="0"/>
        <v>11.238987938071483</v>
      </c>
      <c r="G8">
        <f ca="1">'Pre-Desilication_Balance'!E26</f>
        <v>344.24551543479043</v>
      </c>
      <c r="H8">
        <f ca="1">E32*2</f>
        <v>43.212222862529337</v>
      </c>
    </row>
    <row r="9" spans="1:9" x14ac:dyDescent="0.3">
      <c r="A9" s="6" t="s">
        <v>397</v>
      </c>
      <c r="B9" s="6" t="s">
        <v>398</v>
      </c>
      <c r="C9" s="37">
        <f ca="1">'Pre-Desilication_Balance'!C59</f>
        <v>2.1346838094089478</v>
      </c>
      <c r="D9" s="38">
        <f>56.08+18.02</f>
        <v>74.099999999999994</v>
      </c>
      <c r="E9" s="37">
        <f t="shared" ca="1" si="0"/>
        <v>28.808148575019541</v>
      </c>
      <c r="G9" s="59">
        <f ca="1">G7+G8</f>
        <v>1474.6330002314553</v>
      </c>
      <c r="H9" s="59">
        <f ca="1">E43*2</f>
        <v>-11.982682364627514</v>
      </c>
    </row>
    <row r="10" spans="1:9" x14ac:dyDescent="0.3">
      <c r="A10" s="25" t="s">
        <v>105</v>
      </c>
      <c r="B10" s="25" t="s">
        <v>201</v>
      </c>
      <c r="C10" s="39">
        <f>Dashboard_Monitoring!C8*Dashboard_Monitoring!C15</f>
        <v>0.9589988350868226</v>
      </c>
      <c r="D10" s="40">
        <v>40.299999999999997</v>
      </c>
      <c r="E10" s="39">
        <f t="shared" si="0"/>
        <v>23.796497148556394</v>
      </c>
      <c r="H10" s="59">
        <f ca="1">H7+H8+H9</f>
        <v>1474.6330002314558</v>
      </c>
    </row>
    <row r="11" spans="1:9" x14ac:dyDescent="0.3">
      <c r="A11" s="6" t="s">
        <v>384</v>
      </c>
      <c r="B11" s="6" t="s">
        <v>197</v>
      </c>
      <c r="C11" s="37">
        <f>'Pre-Desilication_Balance'!C60</f>
        <v>0.45233211278015284</v>
      </c>
      <c r="D11" s="38">
        <f>'Pre-Desilication_Balance'!D60</f>
        <v>39.99</v>
      </c>
      <c r="E11" s="37">
        <f t="shared" si="0"/>
        <v>11.311130602154359</v>
      </c>
    </row>
    <row r="12" spans="1:9" x14ac:dyDescent="0.3">
      <c r="A12" s="25" t="s">
        <v>111</v>
      </c>
      <c r="B12" s="25" t="s">
        <v>201</v>
      </c>
      <c r="C12" s="39">
        <f>Dashboard_Monitoring!C8*Dashboard_Monitoring!C17</f>
        <v>0.29356091022491454</v>
      </c>
      <c r="D12" s="40">
        <v>94.2</v>
      </c>
      <c r="E12" s="39">
        <f t="shared" si="0"/>
        <v>3.1163578580139548</v>
      </c>
    </row>
    <row r="13" spans="1:9" x14ac:dyDescent="0.3">
      <c r="A13" s="6" t="s">
        <v>114</v>
      </c>
      <c r="B13" s="6" t="s">
        <v>201</v>
      </c>
      <c r="C13" s="37">
        <f>Dashboard_Monitoring!C8*Dashboard_Monitoring!C18</f>
        <v>7.52642683982849E-2</v>
      </c>
      <c r="D13" s="38">
        <v>152</v>
      </c>
      <c r="E13" s="37">
        <f t="shared" si="0"/>
        <v>0.49515966051503224</v>
      </c>
    </row>
    <row r="14" spans="1:9" x14ac:dyDescent="0.3">
      <c r="A14" s="25" t="s">
        <v>203</v>
      </c>
      <c r="B14" s="25" t="s">
        <v>204</v>
      </c>
      <c r="C14" s="39">
        <f>Dashboard_Monitoring!C8*Dashboard_Monitoring!C19</f>
        <v>26.861960457801828</v>
      </c>
      <c r="D14" s="40">
        <v>60</v>
      </c>
      <c r="E14" s="39">
        <f t="shared" si="0"/>
        <v>447.6993409633638</v>
      </c>
    </row>
    <row r="15" spans="1:9" x14ac:dyDescent="0.3">
      <c r="A15" s="6" t="s">
        <v>205</v>
      </c>
      <c r="B15" s="6" t="s">
        <v>206</v>
      </c>
      <c r="C15" s="37">
        <f>Dashboard_Monitoring!C6*Dashboard_Monitoring!C7</f>
        <v>30</v>
      </c>
      <c r="D15" s="38">
        <v>18.02</v>
      </c>
      <c r="E15" s="37">
        <f t="shared" si="0"/>
        <v>1664.8168701442842</v>
      </c>
    </row>
    <row r="16" spans="1:9" x14ac:dyDescent="0.3">
      <c r="A16" s="194" t="s">
        <v>207</v>
      </c>
      <c r="B16" s="178"/>
      <c r="C16" s="41">
        <f ca="1">SUM(C5:C15)</f>
        <v>138.61430677036833</v>
      </c>
      <c r="D16" s="42" t="s">
        <v>208</v>
      </c>
      <c r="E16" s="43">
        <f ca="1">SUM(E5:E15)</f>
        <v>2904.3601673763269</v>
      </c>
    </row>
    <row r="17" spans="1:9" ht="22.05" customHeight="1" x14ac:dyDescent="0.3">
      <c r="A17" s="220" t="s">
        <v>209</v>
      </c>
      <c r="B17" s="177"/>
      <c r="C17" s="177"/>
      <c r="D17" s="177"/>
      <c r="E17" s="177"/>
      <c r="F17" s="177"/>
      <c r="G17" s="177"/>
      <c r="H17" s="177"/>
      <c r="I17" s="178"/>
    </row>
    <row r="18" spans="1:9" x14ac:dyDescent="0.3">
      <c r="A18" s="4" t="s">
        <v>210</v>
      </c>
      <c r="B18" s="4"/>
      <c r="C18" s="44">
        <f>Dashboard_Monitoring!C31*Dashboard_Monitoring!C8</f>
        <v>360</v>
      </c>
      <c r="D18" s="45">
        <v>18.02</v>
      </c>
    </row>
    <row r="19" spans="1:9" x14ac:dyDescent="0.3">
      <c r="A19" s="4" t="s">
        <v>211</v>
      </c>
      <c r="B19" s="4"/>
      <c r="C19" s="44">
        <v>0</v>
      </c>
    </row>
    <row r="20" spans="1:9" x14ac:dyDescent="0.3">
      <c r="A20" s="21" t="s">
        <v>529</v>
      </c>
      <c r="B20" s="10"/>
      <c r="C20" s="46">
        <f ca="1">'Pre-Desilication_Balance'!C61</f>
        <v>359.37896387595276</v>
      </c>
    </row>
    <row r="21" spans="1:9" x14ac:dyDescent="0.3">
      <c r="A21" s="16" t="s">
        <v>213</v>
      </c>
      <c r="B21" s="16"/>
      <c r="C21" s="47">
        <f ca="1">'Pre-Desilication_Balance'!C31</f>
        <v>50.918543701171878</v>
      </c>
    </row>
    <row r="22" spans="1:9" x14ac:dyDescent="0.3">
      <c r="A22" s="16" t="s">
        <v>443</v>
      </c>
      <c r="B22" s="16"/>
      <c r="C22" s="47">
        <f ca="1">'Pre-Desilication_Balance'!C26</f>
        <v>28.217804900189773</v>
      </c>
    </row>
    <row r="23" spans="1:9" x14ac:dyDescent="0.3">
      <c r="A23" s="16"/>
      <c r="B23" s="16"/>
      <c r="C23" s="47"/>
    </row>
    <row r="24" spans="1:9" ht="22.05" customHeight="1" x14ac:dyDescent="0.3">
      <c r="A24" s="179" t="s">
        <v>295</v>
      </c>
      <c r="B24" s="177"/>
      <c r="C24" s="177"/>
      <c r="D24" s="177"/>
      <c r="E24" s="177"/>
      <c r="F24" s="177"/>
      <c r="G24" s="177"/>
      <c r="H24" s="177"/>
      <c r="I24" s="178"/>
    </row>
    <row r="25" spans="1:9" x14ac:dyDescent="0.3">
      <c r="A25" s="10" t="s">
        <v>214</v>
      </c>
      <c r="C25" s="48">
        <f ca="1">C5*Dashboard_Monitoring!C28</f>
        <v>56.035072000350944</v>
      </c>
      <c r="D25" s="49">
        <v>101.96</v>
      </c>
      <c r="E25" s="48">
        <f ca="1">C25/D25*1000</f>
        <v>549.57897214938157</v>
      </c>
    </row>
    <row r="26" spans="1:9" x14ac:dyDescent="0.3">
      <c r="A26" s="10" t="s">
        <v>215</v>
      </c>
      <c r="C26" s="48">
        <f ca="1">E25*2*39.99/1000</f>
        <v>43.955326192507542</v>
      </c>
      <c r="D26" s="49">
        <v>39.99</v>
      </c>
      <c r="E26">
        <f ca="1">C26/D26*1000</f>
        <v>1099.1579442987631</v>
      </c>
    </row>
    <row r="27" spans="1:9" x14ac:dyDescent="0.3">
      <c r="A27" s="10" t="s">
        <v>216</v>
      </c>
      <c r="C27" s="48">
        <f ca="1">E25*2*81.97/1000</f>
        <v>90.097976694169617</v>
      </c>
      <c r="D27" s="49">
        <v>81.97</v>
      </c>
      <c r="E27" s="48">
        <f ca="1">C27/D27*1000</f>
        <v>1099.1579442987631</v>
      </c>
      <c r="F27" s="48">
        <f ca="1">C27</f>
        <v>90.097976694169617</v>
      </c>
      <c r="G27" s="48">
        <f ca="1">E27</f>
        <v>1099.1579442987631</v>
      </c>
    </row>
    <row r="28" spans="1:9" ht="26.4" x14ac:dyDescent="0.3">
      <c r="A28" s="10" t="s">
        <v>217</v>
      </c>
      <c r="C28" s="48">
        <f ca="1">E25*4*18.02/1000</f>
        <v>39.613652312527428</v>
      </c>
      <c r="D28" s="49">
        <v>18.02</v>
      </c>
      <c r="E28">
        <f ca="1">C28/D28*1000</f>
        <v>2198.3158885975267</v>
      </c>
      <c r="F28" s="59">
        <f ca="1">C28</f>
        <v>39.613652312527428</v>
      </c>
    </row>
    <row r="29" spans="1:9" x14ac:dyDescent="0.3">
      <c r="A29" s="184" t="s">
        <v>313</v>
      </c>
      <c r="B29" s="177"/>
      <c r="C29" s="177"/>
      <c r="D29" s="177"/>
      <c r="E29" s="177"/>
      <c r="F29" s="177"/>
      <c r="G29" s="177"/>
      <c r="H29" s="177"/>
      <c r="I29" s="178"/>
    </row>
    <row r="30" spans="1:9" x14ac:dyDescent="0.3">
      <c r="A30" s="16" t="s">
        <v>218</v>
      </c>
      <c r="C30" s="47">
        <f ca="1">C6</f>
        <v>2.596622471809388</v>
      </c>
      <c r="D30" s="50">
        <v>60.09</v>
      </c>
      <c r="E30" s="47">
        <f ca="1">C30/D30*1000</f>
        <v>43.212222862529337</v>
      </c>
    </row>
    <row r="31" spans="1:9" x14ac:dyDescent="0.3">
      <c r="A31" s="16" t="s">
        <v>219</v>
      </c>
      <c r="C31" s="47">
        <f ca="1">E31*D31/1000</f>
        <v>3.4561135845450965</v>
      </c>
      <c r="D31" s="50">
        <v>39.99</v>
      </c>
      <c r="E31">
        <f ca="1">E30*2</f>
        <v>86.424445725058675</v>
      </c>
    </row>
    <row r="32" spans="1:9" x14ac:dyDescent="0.3">
      <c r="A32" s="16" t="s">
        <v>220</v>
      </c>
      <c r="C32" s="47">
        <f ca="1">E30*0.5*101.96/1000</f>
        <v>2.2029591215317454</v>
      </c>
      <c r="D32" s="50">
        <v>101.96</v>
      </c>
      <c r="E32">
        <f ca="1">C32/D32*1000</f>
        <v>21.606111431264669</v>
      </c>
    </row>
    <row r="33" spans="1:9" x14ac:dyDescent="0.3">
      <c r="A33" s="16" t="s">
        <v>221</v>
      </c>
      <c r="C33" s="47">
        <f ca="1">C32+C30+E30*4*18.02/1000</f>
        <v>7.9143186172722473</v>
      </c>
      <c r="D33" s="50">
        <f>Molar_Base_Data!D21</f>
        <v>320.16000000000003</v>
      </c>
      <c r="E33">
        <f ca="1">C33/D33*1000</f>
        <v>24.719885736107717</v>
      </c>
      <c r="H33" s="47" t="s">
        <v>488</v>
      </c>
      <c r="I33" t="s">
        <v>315</v>
      </c>
    </row>
    <row r="34" spans="1:9" ht="26.4" x14ac:dyDescent="0.3">
      <c r="A34" s="16" t="s">
        <v>545</v>
      </c>
      <c r="C34" s="69">
        <f ca="1">D34*E34/1000</f>
        <v>31.657274469088989</v>
      </c>
      <c r="D34" s="70">
        <f>Molar_Base_Data!D21</f>
        <v>320.16000000000003</v>
      </c>
      <c r="E34">
        <f ca="1">E33*4</f>
        <v>98.879542944430867</v>
      </c>
      <c r="H34" s="69">
        <f ca="1">C21</f>
        <v>50.918543701171878</v>
      </c>
      <c r="I34" s="59">
        <f ca="1">E26+E31+E57</f>
        <v>1273.2819130075488</v>
      </c>
    </row>
    <row r="35" spans="1:9" ht="22.05" customHeight="1" x14ac:dyDescent="0.3">
      <c r="A35" s="220" t="s">
        <v>222</v>
      </c>
      <c r="B35" s="177"/>
      <c r="C35" s="177"/>
      <c r="D35" s="177"/>
      <c r="E35" s="177"/>
      <c r="F35" s="177"/>
      <c r="G35" s="177"/>
      <c r="H35" s="177"/>
      <c r="I35" s="178"/>
    </row>
    <row r="36" spans="1:9" x14ac:dyDescent="0.3">
      <c r="A36" s="6" t="s">
        <v>223</v>
      </c>
      <c r="C36" s="37">
        <f t="shared" ref="C36:C42" si="1">C7</f>
        <v>16.716071963310242</v>
      </c>
      <c r="D36" s="51">
        <v>159.69999999999999</v>
      </c>
      <c r="E36" s="37">
        <f t="shared" ref="E36:E43" si="2">C36/D36*1000</f>
        <v>104.67170922548681</v>
      </c>
      <c r="H36" s="37">
        <f t="shared" ref="H36:H43" si="3">C36</f>
        <v>16.716071963310242</v>
      </c>
      <c r="I36" s="37">
        <f t="shared" ref="I36:I42" si="4">E36</f>
        <v>104.67170922548681</v>
      </c>
    </row>
    <row r="37" spans="1:9" x14ac:dyDescent="0.3">
      <c r="A37" s="25" t="s">
        <v>224</v>
      </c>
      <c r="C37" s="39">
        <f t="shared" si="1"/>
        <v>0.89765796661376951</v>
      </c>
      <c r="D37" s="52">
        <v>79.87</v>
      </c>
      <c r="E37" s="39">
        <f t="shared" si="2"/>
        <v>11.238987938071483</v>
      </c>
      <c r="H37" s="39">
        <f t="shared" si="3"/>
        <v>0.89765796661376951</v>
      </c>
      <c r="I37" s="39">
        <f t="shared" si="4"/>
        <v>11.238987938071483</v>
      </c>
    </row>
    <row r="38" spans="1:9" x14ac:dyDescent="0.3">
      <c r="A38" s="6" t="s">
        <v>225</v>
      </c>
      <c r="C38" s="37">
        <f t="shared" ca="1" si="1"/>
        <v>2.1346838094089478</v>
      </c>
      <c r="D38" s="51">
        <v>56.08</v>
      </c>
      <c r="E38" s="37">
        <f t="shared" ca="1" si="2"/>
        <v>38.064975203440582</v>
      </c>
      <c r="H38" s="37">
        <f t="shared" ca="1" si="3"/>
        <v>2.1346838094089478</v>
      </c>
      <c r="I38" s="37">
        <f t="shared" ca="1" si="4"/>
        <v>38.064975203440582</v>
      </c>
    </row>
    <row r="39" spans="1:9" x14ac:dyDescent="0.3">
      <c r="A39" s="25" t="s">
        <v>226</v>
      </c>
      <c r="C39" s="39">
        <f t="shared" si="1"/>
        <v>0.9589988350868226</v>
      </c>
      <c r="D39" s="52">
        <v>40.299999999999997</v>
      </c>
      <c r="E39" s="39">
        <f t="shared" si="2"/>
        <v>23.796497148556394</v>
      </c>
      <c r="H39" s="39">
        <f t="shared" si="3"/>
        <v>0.9589988350868226</v>
      </c>
      <c r="I39" s="39">
        <f t="shared" si="4"/>
        <v>23.796497148556394</v>
      </c>
    </row>
    <row r="40" spans="1:9" x14ac:dyDescent="0.3">
      <c r="A40" s="6" t="s">
        <v>227</v>
      </c>
      <c r="C40" s="37">
        <f t="shared" si="1"/>
        <v>0.45233211278015284</v>
      </c>
      <c r="D40" s="51">
        <v>61.98</v>
      </c>
      <c r="E40" s="37">
        <f t="shared" si="2"/>
        <v>7.2980334427259255</v>
      </c>
      <c r="H40" s="37">
        <f t="shared" si="3"/>
        <v>0.45233211278015284</v>
      </c>
      <c r="I40" s="37">
        <f t="shared" si="4"/>
        <v>7.2980334427259255</v>
      </c>
    </row>
    <row r="41" spans="1:9" x14ac:dyDescent="0.3">
      <c r="A41" s="25" t="s">
        <v>228</v>
      </c>
      <c r="C41" s="39">
        <f t="shared" si="1"/>
        <v>0.29356091022491454</v>
      </c>
      <c r="D41" s="52">
        <v>94.2</v>
      </c>
      <c r="E41" s="39">
        <f t="shared" si="2"/>
        <v>3.1163578580139548</v>
      </c>
      <c r="H41" s="39">
        <f t="shared" si="3"/>
        <v>0.29356091022491454</v>
      </c>
      <c r="I41" s="39">
        <f t="shared" si="4"/>
        <v>3.1163578580139548</v>
      </c>
    </row>
    <row r="42" spans="1:9" x14ac:dyDescent="0.3">
      <c r="A42" s="6" t="s">
        <v>229</v>
      </c>
      <c r="C42" s="37">
        <f t="shared" si="1"/>
        <v>7.52642683982849E-2</v>
      </c>
      <c r="D42" s="51">
        <v>152</v>
      </c>
      <c r="E42" s="37">
        <f t="shared" si="2"/>
        <v>0.49515966051503224</v>
      </c>
      <c r="H42" s="37">
        <f t="shared" si="3"/>
        <v>7.52642683982849E-2</v>
      </c>
      <c r="I42" s="37">
        <f t="shared" si="4"/>
        <v>0.49515966051503224</v>
      </c>
    </row>
    <row r="43" spans="1:9" x14ac:dyDescent="0.3">
      <c r="A43" s="6" t="s">
        <v>230</v>
      </c>
      <c r="C43" s="37">
        <f ca="1">C5*(1-Dashboard_Monitoring!C28)-C32</f>
        <v>-0.61087714694871065</v>
      </c>
      <c r="D43" s="51">
        <v>101.96</v>
      </c>
      <c r="E43" s="37">
        <f t="shared" ca="1" si="2"/>
        <v>-5.9913411823137572</v>
      </c>
      <c r="H43" s="37">
        <f t="shared" ca="1" si="3"/>
        <v>-0.61087714694871065</v>
      </c>
    </row>
    <row r="45" spans="1:9" ht="22.05" customHeight="1" x14ac:dyDescent="0.3">
      <c r="A45" s="179" t="s">
        <v>231</v>
      </c>
      <c r="B45" s="177"/>
      <c r="C45" s="177"/>
      <c r="D45" s="177"/>
      <c r="E45" s="177"/>
      <c r="F45" s="177"/>
      <c r="G45" s="177"/>
      <c r="H45" s="177"/>
      <c r="I45" s="178"/>
    </row>
    <row r="46" spans="1:9" x14ac:dyDescent="0.3">
      <c r="A46" s="78" t="s">
        <v>323</v>
      </c>
      <c r="C46" s="44">
        <f ca="1">(Dashboard_Monitoring!C31*Dashboard_Monitoring!C8+C5)*Dashboard_Monitoring!C29</f>
        <v>20.881357698746701</v>
      </c>
    </row>
    <row r="47" spans="1:9" x14ac:dyDescent="0.3">
      <c r="A47" s="16" t="s">
        <v>232</v>
      </c>
      <c r="C47" s="47">
        <f ca="1">(Dashboard_Monitoring!C31*Dashboard_Monitoring!C8+C5)*Dashboard_Monitoring!C33</f>
        <v>12.528814619248019</v>
      </c>
      <c r="D47" s="59">
        <f ca="1">C46-C47-C48</f>
        <v>1.152543079498682</v>
      </c>
    </row>
    <row r="48" spans="1:9" x14ac:dyDescent="0.3">
      <c r="A48" s="16" t="s">
        <v>233</v>
      </c>
      <c r="C48" s="47">
        <f>(Dashboard_Monitoring!C31*Dashboard_Monitoring!C8)*Dashboard_Monitoring!C34</f>
        <v>7.2</v>
      </c>
    </row>
    <row r="49" spans="1:9" x14ac:dyDescent="0.3">
      <c r="A49" t="s">
        <v>531</v>
      </c>
      <c r="C49" s="59">
        <f ca="1">C46-C47-C48</f>
        <v>1.152543079498682</v>
      </c>
    </row>
    <row r="50" spans="1:9" ht="22.05" customHeight="1" x14ac:dyDescent="0.3">
      <c r="A50" s="179" t="s">
        <v>234</v>
      </c>
      <c r="B50" s="177"/>
      <c r="C50" s="177"/>
      <c r="D50" s="177"/>
      <c r="E50" s="177"/>
      <c r="F50" s="177"/>
      <c r="G50" s="177"/>
      <c r="H50" s="177"/>
      <c r="I50" s="178"/>
    </row>
    <row r="51" spans="1:9" x14ac:dyDescent="0.3">
      <c r="A51" s="10" t="s">
        <v>235</v>
      </c>
      <c r="C51" s="48">
        <f ca="1">C26</f>
        <v>43.955326192507542</v>
      </c>
    </row>
    <row r="52" spans="1:9" x14ac:dyDescent="0.3">
      <c r="A52" s="16" t="s">
        <v>236</v>
      </c>
      <c r="C52" s="47">
        <f ca="1">C31</f>
        <v>3.4561135845450965</v>
      </c>
    </row>
    <row r="53" spans="1:9" x14ac:dyDescent="0.3">
      <c r="A53" s="53" t="s">
        <v>237</v>
      </c>
      <c r="C53" s="14">
        <f ca="1">C51+C52</f>
        <v>47.411439777052635</v>
      </c>
    </row>
    <row r="54" spans="1:9" x14ac:dyDescent="0.3">
      <c r="A54" t="s">
        <v>597</v>
      </c>
      <c r="C54" s="59">
        <f ca="1">MAX(0,C53-C21)</f>
        <v>0</v>
      </c>
      <c r="D54" s="91">
        <f>D26</f>
        <v>39.99</v>
      </c>
      <c r="E54">
        <f ca="1">C54/D54*1000</f>
        <v>0</v>
      </c>
    </row>
    <row r="55" spans="1:9" ht="22.05" customHeight="1" x14ac:dyDescent="0.3">
      <c r="A55" s="179" t="s">
        <v>238</v>
      </c>
      <c r="B55" s="177"/>
      <c r="C55" s="177"/>
      <c r="D55" s="177"/>
      <c r="E55" s="177"/>
      <c r="F55" s="177"/>
      <c r="G55" s="177"/>
      <c r="H55" s="177"/>
      <c r="I55" s="178"/>
    </row>
    <row r="56" spans="1:9" x14ac:dyDescent="0.3">
      <c r="A56" s="10" t="s">
        <v>444</v>
      </c>
      <c r="C56" s="48">
        <f ca="1">C27+C22</f>
        <v>118.31578159435939</v>
      </c>
    </row>
    <row r="57" spans="1:9" x14ac:dyDescent="0.3">
      <c r="A57" s="10" t="s">
        <v>239</v>
      </c>
      <c r="C57" s="48">
        <f ca="1">C21-C53+C54</f>
        <v>3.5071039241192423</v>
      </c>
      <c r="D57" s="91">
        <f>D31</f>
        <v>39.99</v>
      </c>
      <c r="E57">
        <f ca="1">C57/D57*1000</f>
        <v>87.699522983726993</v>
      </c>
      <c r="F57" t="s">
        <v>311</v>
      </c>
    </row>
    <row r="58" spans="1:9" x14ac:dyDescent="0.3">
      <c r="A58" s="10" t="s">
        <v>240</v>
      </c>
      <c r="C58" s="48">
        <f ca="1">C19+C20+C46+C28-C47-C48-C34</f>
        <v>368.48788479888992</v>
      </c>
      <c r="D58" s="59">
        <f ca="1">C20</f>
        <v>359.37896387595276</v>
      </c>
      <c r="F58" s="59">
        <f ca="1">C58</f>
        <v>368.48788479888992</v>
      </c>
    </row>
    <row r="59" spans="1:9" x14ac:dyDescent="0.3">
      <c r="A59" s="53" t="s">
        <v>241</v>
      </c>
      <c r="C59" s="14">
        <f ca="1">C56+C57+C58</f>
        <v>490.31077031736856</v>
      </c>
      <c r="D59" s="59">
        <f>C15</f>
        <v>30</v>
      </c>
    </row>
    <row r="60" spans="1:9" x14ac:dyDescent="0.3">
      <c r="A60" s="53" t="s">
        <v>242</v>
      </c>
      <c r="C60" s="14">
        <f ca="1">C43+C33+SUM(C36:C42)</f>
        <v>28.832011336146675</v>
      </c>
      <c r="D60" s="59">
        <f ca="1">+C28</f>
        <v>39.613652312527428</v>
      </c>
    </row>
    <row r="61" spans="1:9" x14ac:dyDescent="0.3">
      <c r="D61" s="59">
        <f ca="1">SUM(D58:D60)+D47+C34</f>
        <v>461.80243373706787</v>
      </c>
    </row>
  </sheetData>
  <mergeCells count="11">
    <mergeCell ref="A1:I1"/>
    <mergeCell ref="A17:I17"/>
    <mergeCell ref="A24:I24"/>
    <mergeCell ref="A55:I55"/>
    <mergeCell ref="A4:I4"/>
    <mergeCell ref="A50:I50"/>
    <mergeCell ref="A45:I45"/>
    <mergeCell ref="A16:B16"/>
    <mergeCell ref="A2:I2"/>
    <mergeCell ref="A35:I35"/>
    <mergeCell ref="A29:I29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E8A020"/>
  </sheetPr>
  <dimension ref="A1:H53"/>
  <sheetViews>
    <sheetView showGridLines="0" workbookViewId="0">
      <pane ySplit="3" topLeftCell="A4" activePane="bottomLeft" state="frozen"/>
      <selection pane="bottomLeft" activeCell="C5" sqref="C5"/>
    </sheetView>
  </sheetViews>
  <sheetFormatPr defaultRowHeight="14.4" x14ac:dyDescent="0.3"/>
  <cols>
    <col min="1" max="1" width="40" customWidth="1"/>
    <col min="2" max="2" width="22" customWidth="1"/>
    <col min="3" max="3" width="18" customWidth="1"/>
    <col min="4" max="5" width="20" customWidth="1"/>
    <col min="6" max="7" width="22" customWidth="1"/>
    <col min="8" max="8" width="18" customWidth="1"/>
  </cols>
  <sheetData>
    <row r="1" spans="1:8" ht="22.05" customHeight="1" x14ac:dyDescent="0.3">
      <c r="A1" s="179" t="s">
        <v>243</v>
      </c>
      <c r="B1" s="177"/>
      <c r="C1" s="177"/>
      <c r="D1" s="177"/>
      <c r="E1" s="177"/>
      <c r="F1" s="177"/>
      <c r="G1" s="177"/>
      <c r="H1" s="178"/>
    </row>
    <row r="2" spans="1:8" ht="22.05" customHeight="1" x14ac:dyDescent="0.3">
      <c r="A2" s="220" t="s">
        <v>244</v>
      </c>
      <c r="B2" s="177"/>
      <c r="C2" s="177"/>
      <c r="D2" s="177"/>
      <c r="E2" s="177"/>
      <c r="F2" s="177"/>
      <c r="G2" s="177"/>
      <c r="H2" s="178"/>
    </row>
    <row r="3" spans="1:8" ht="45" customHeight="1" x14ac:dyDescent="0.3">
      <c r="A3" s="5" t="s">
        <v>245</v>
      </c>
      <c r="B3" s="5" t="s">
        <v>187</v>
      </c>
      <c r="C3" s="5" t="s">
        <v>246</v>
      </c>
      <c r="D3" s="5" t="s">
        <v>247</v>
      </c>
      <c r="E3" s="5" t="s">
        <v>248</v>
      </c>
      <c r="F3" s="5" t="s">
        <v>249</v>
      </c>
      <c r="G3" s="5" t="s">
        <v>250</v>
      </c>
      <c r="H3" s="5" t="s">
        <v>251</v>
      </c>
    </row>
    <row r="4" spans="1:8" x14ac:dyDescent="0.3">
      <c r="A4" s="10" t="s">
        <v>252</v>
      </c>
      <c r="B4" s="10" t="s">
        <v>253</v>
      </c>
      <c r="C4" s="48">
        <f ca="1">Digestion_Balance!C56</f>
        <v>118.31578159435939</v>
      </c>
      <c r="D4" s="48">
        <f ca="1">C4</f>
        <v>118.31578159435939</v>
      </c>
      <c r="E4" s="48" t="s">
        <v>254</v>
      </c>
      <c r="F4" s="48" t="s">
        <v>254</v>
      </c>
      <c r="G4" s="48" t="s">
        <v>254</v>
      </c>
      <c r="H4" s="48" t="s">
        <v>254</v>
      </c>
    </row>
    <row r="5" spans="1:8" x14ac:dyDescent="0.3">
      <c r="A5" s="4" t="s">
        <v>407</v>
      </c>
      <c r="B5" s="4" t="s">
        <v>253</v>
      </c>
      <c r="C5" s="44">
        <f ca="1">Digestion_Balance!C57</f>
        <v>3.5071039241192423</v>
      </c>
      <c r="D5" s="44">
        <f ca="1">C5</f>
        <v>3.5071039241192423</v>
      </c>
      <c r="E5" s="44" t="s">
        <v>254</v>
      </c>
      <c r="F5" s="44" t="s">
        <v>254</v>
      </c>
      <c r="G5" s="44" t="s">
        <v>254</v>
      </c>
      <c r="H5" s="44" t="s">
        <v>254</v>
      </c>
    </row>
    <row r="6" spans="1:8" x14ac:dyDescent="0.3">
      <c r="A6" s="4" t="s">
        <v>408</v>
      </c>
      <c r="B6" s="4" t="s">
        <v>253</v>
      </c>
      <c r="C6" s="44">
        <f ca="1">Digestion_Balance!C9</f>
        <v>2.1346838094089478</v>
      </c>
      <c r="D6" s="44">
        <f>Digestion_Balance!D9</f>
        <v>74.099999999999994</v>
      </c>
      <c r="E6" s="44"/>
      <c r="F6" s="44"/>
      <c r="G6" s="44"/>
      <c r="H6" s="44"/>
    </row>
    <row r="7" spans="1:8" x14ac:dyDescent="0.3">
      <c r="A7" s="6" t="s">
        <v>409</v>
      </c>
      <c r="B7" s="6" t="s">
        <v>253</v>
      </c>
      <c r="C7" s="37">
        <f ca="1">Digestion_Balance!C58</f>
        <v>368.48788479888992</v>
      </c>
      <c r="D7" s="37">
        <f ca="1">C7</f>
        <v>368.48788479888992</v>
      </c>
      <c r="E7" s="37" t="s">
        <v>254</v>
      </c>
      <c r="F7" s="37" t="s">
        <v>254</v>
      </c>
      <c r="G7" s="37" t="s">
        <v>254</v>
      </c>
      <c r="H7" s="37" t="s">
        <v>254</v>
      </c>
    </row>
    <row r="8" spans="1:8" ht="22.05" customHeight="1" x14ac:dyDescent="0.3">
      <c r="A8" s="220" t="s">
        <v>405</v>
      </c>
      <c r="B8" s="177"/>
      <c r="C8" s="177"/>
      <c r="D8" s="177"/>
      <c r="E8" s="177"/>
      <c r="F8" s="177"/>
      <c r="G8" s="177"/>
      <c r="H8" s="178"/>
    </row>
    <row r="9" spans="1:8" x14ac:dyDescent="0.3">
      <c r="A9" s="6" t="s">
        <v>255</v>
      </c>
      <c r="B9" s="6" t="s">
        <v>256</v>
      </c>
      <c r="C9" s="37">
        <f>Digestion_Balance!C7</f>
        <v>16.716071963310242</v>
      </c>
      <c r="D9" s="37">
        <f>0</f>
        <v>0</v>
      </c>
      <c r="E9" s="37">
        <f t="shared" ref="E9:E15" si="0">C9</f>
        <v>16.716071963310242</v>
      </c>
      <c r="G9" t="s">
        <v>459</v>
      </c>
      <c r="H9" t="s">
        <v>460</v>
      </c>
    </row>
    <row r="10" spans="1:8" x14ac:dyDescent="0.3">
      <c r="A10" s="25" t="s">
        <v>202</v>
      </c>
      <c r="B10" s="25" t="s">
        <v>256</v>
      </c>
      <c r="C10" s="39">
        <f>Digestion_Balance!C8</f>
        <v>0.89765796661376951</v>
      </c>
      <c r="D10" s="39">
        <f>0</f>
        <v>0</v>
      </c>
      <c r="E10" s="39">
        <f t="shared" si="0"/>
        <v>0.89765796661376951</v>
      </c>
      <c r="G10">
        <f ca="1">C4/Molar_Base_Data!D15*1000</f>
        <v>1443.4034597335537</v>
      </c>
      <c r="H10">
        <f ca="1">C24/Molar_Base_Data!D15*1000</f>
        <v>28.868069194671097</v>
      </c>
    </row>
    <row r="11" spans="1:8" x14ac:dyDescent="0.3">
      <c r="A11" s="25" t="s">
        <v>105</v>
      </c>
      <c r="B11" s="25" t="s">
        <v>256</v>
      </c>
      <c r="C11" s="39">
        <f>Digestion_Balance!C10</f>
        <v>0.9589988350868226</v>
      </c>
      <c r="D11" s="39">
        <f>0</f>
        <v>0</v>
      </c>
      <c r="E11" s="39">
        <f t="shared" si="0"/>
        <v>0.9589988350868226</v>
      </c>
      <c r="H11">
        <f ca="1">C18/Molar_Base_Data!D15</f>
        <v>1.4145353905388824</v>
      </c>
    </row>
    <row r="12" spans="1:8" x14ac:dyDescent="0.3">
      <c r="A12" s="25" t="s">
        <v>111</v>
      </c>
      <c r="B12" s="25" t="s">
        <v>256</v>
      </c>
      <c r="C12" s="39">
        <f>Digestion_Balance!C12</f>
        <v>0.29356091022491454</v>
      </c>
      <c r="D12" s="39">
        <f>0</f>
        <v>0</v>
      </c>
      <c r="E12" s="39">
        <f t="shared" si="0"/>
        <v>0.29356091022491454</v>
      </c>
    </row>
    <row r="13" spans="1:8" x14ac:dyDescent="0.3">
      <c r="A13" s="6" t="s">
        <v>114</v>
      </c>
      <c r="B13" s="6" t="s">
        <v>256</v>
      </c>
      <c r="C13" s="37">
        <f>Digestion_Balance!C13</f>
        <v>7.52642683982849E-2</v>
      </c>
      <c r="D13" s="37">
        <f>0</f>
        <v>0</v>
      </c>
      <c r="E13" s="37">
        <f t="shared" si="0"/>
        <v>7.52642683982849E-2</v>
      </c>
      <c r="G13" t="s">
        <v>490</v>
      </c>
    </row>
    <row r="14" spans="1:8" x14ac:dyDescent="0.3">
      <c r="A14" s="25" t="s">
        <v>257</v>
      </c>
      <c r="B14" s="25" t="s">
        <v>258</v>
      </c>
      <c r="C14" s="39">
        <f ca="1">Digestion_Balance!C43</f>
        <v>-0.61087714694871065</v>
      </c>
      <c r="D14" s="39">
        <f>0</f>
        <v>0</v>
      </c>
      <c r="E14" s="39">
        <f t="shared" ca="1" si="0"/>
        <v>-0.61087714694871065</v>
      </c>
      <c r="G14" s="59">
        <f ca="1">C5</f>
        <v>3.5071039241192423</v>
      </c>
      <c r="H14" s="59">
        <f ca="1">C19+C50+C35</f>
        <v>3.5071039241192423</v>
      </c>
    </row>
    <row r="15" spans="1:8" x14ac:dyDescent="0.3">
      <c r="A15" s="6" t="s">
        <v>259</v>
      </c>
      <c r="B15" s="6" t="s">
        <v>260</v>
      </c>
      <c r="C15" s="37">
        <f ca="1">Digestion_Balance!C33+'Pre-Desilication_Balance'!C55</f>
        <v>24.29347957108536</v>
      </c>
      <c r="D15" s="37">
        <f>0</f>
        <v>0</v>
      </c>
      <c r="E15" s="37">
        <f t="shared" ca="1" si="0"/>
        <v>24.29347957108536</v>
      </c>
    </row>
    <row r="17" spans="1:8" ht="18" x14ac:dyDescent="0.35">
      <c r="A17" s="246" t="s">
        <v>410</v>
      </c>
      <c r="B17" s="246"/>
      <c r="C17" s="246"/>
      <c r="D17" s="246"/>
      <c r="E17" s="246"/>
      <c r="F17" s="246"/>
      <c r="G17" s="246"/>
      <c r="H17" s="246"/>
    </row>
    <row r="18" spans="1:8" ht="18" x14ac:dyDescent="0.35">
      <c r="A18" s="10" t="s">
        <v>252</v>
      </c>
      <c r="B18" s="10" t="s">
        <v>411</v>
      </c>
      <c r="C18" s="117">
        <f ca="1">C4-C24</f>
        <v>115.9494659624722</v>
      </c>
      <c r="D18" s="125">
        <f>Molar_Base_Data!D15</f>
        <v>81.97</v>
      </c>
      <c r="E18" s="116">
        <f ca="1">C18/D18*1000</f>
        <v>1414.5353905388827</v>
      </c>
      <c r="F18" s="116"/>
      <c r="G18" s="116"/>
      <c r="H18" s="116"/>
    </row>
    <row r="19" spans="1:8" x14ac:dyDescent="0.3">
      <c r="A19" s="4" t="s">
        <v>407</v>
      </c>
      <c r="B19" s="4" t="s">
        <v>411</v>
      </c>
      <c r="C19" s="59">
        <f ca="1">C5-C25</f>
        <v>3.4369618456368576</v>
      </c>
    </row>
    <row r="20" spans="1:8" x14ac:dyDescent="0.3">
      <c r="A20" s="4" t="s">
        <v>408</v>
      </c>
      <c r="B20" s="4" t="s">
        <v>411</v>
      </c>
      <c r="C20" s="59">
        <f ca="1">C6-C26</f>
        <v>2.0919901332207687</v>
      </c>
    </row>
    <row r="21" spans="1:8" x14ac:dyDescent="0.3">
      <c r="A21" s="6" t="s">
        <v>409</v>
      </c>
      <c r="B21" s="6" t="s">
        <v>411</v>
      </c>
      <c r="C21" s="59">
        <f ca="1">C7-C27</f>
        <v>361.11812710291213</v>
      </c>
    </row>
    <row r="22" spans="1:8" x14ac:dyDescent="0.3">
      <c r="A22" s="4"/>
    </row>
    <row r="23" spans="1:8" ht="22.05" customHeight="1" x14ac:dyDescent="0.3">
      <c r="A23" s="179" t="s">
        <v>301</v>
      </c>
      <c r="B23" s="177"/>
      <c r="C23" s="177"/>
      <c r="D23" s="177"/>
      <c r="E23" s="177"/>
      <c r="F23" s="177"/>
      <c r="G23" s="177"/>
      <c r="H23" s="178"/>
    </row>
    <row r="24" spans="1:8" ht="31.8" customHeight="1" x14ac:dyDescent="0.3">
      <c r="A24" s="10" t="s">
        <v>302</v>
      </c>
      <c r="B24" s="57"/>
      <c r="C24" s="57">
        <f ca="1">C4*(1-Dashboard_Monitoring!C37)</f>
        <v>2.3663156318871899</v>
      </c>
      <c r="D24" s="126">
        <f>Molar_Base_Data!D15</f>
        <v>81.97</v>
      </c>
      <c r="E24" s="57">
        <f ca="1">C24/D24*1000</f>
        <v>28.868069194671097</v>
      </c>
      <c r="F24" s="57"/>
      <c r="G24" s="57"/>
      <c r="H24" s="58"/>
    </row>
    <row r="25" spans="1:8" x14ac:dyDescent="0.3">
      <c r="A25" s="10" t="s">
        <v>303</v>
      </c>
      <c r="B25" s="57"/>
      <c r="C25" s="57">
        <f ca="1">C5*(1-Dashboard_Monitoring!C37)</f>
        <v>7.0142078482384906E-2</v>
      </c>
      <c r="D25" s="57"/>
      <c r="E25" s="57"/>
      <c r="F25" s="57"/>
      <c r="G25" s="57"/>
      <c r="H25" s="58"/>
    </row>
    <row r="26" spans="1:8" x14ac:dyDescent="0.3">
      <c r="A26" s="114" t="s">
        <v>402</v>
      </c>
      <c r="C26" s="57">
        <f ca="1">C6*(1-Dashboard_Monitoring!C37)</f>
        <v>4.2693676188178993E-2</v>
      </c>
    </row>
    <row r="27" spans="1:8" x14ac:dyDescent="0.3">
      <c r="A27" s="114" t="s">
        <v>413</v>
      </c>
      <c r="C27" s="57">
        <f ca="1">C7*(1-Dashboard_Monitoring!C37)</f>
        <v>7.3697576959778051</v>
      </c>
    </row>
    <row r="28" spans="1:8" x14ac:dyDescent="0.3">
      <c r="A28" s="53" t="s">
        <v>304</v>
      </c>
      <c r="C28" s="14">
        <f ca="1">SUM(C9:C15)</f>
        <v>42.624156367770688</v>
      </c>
      <c r="F28" t="s">
        <v>312</v>
      </c>
      <c r="G28" t="s">
        <v>315</v>
      </c>
    </row>
    <row r="29" spans="1:8" ht="28.2" customHeight="1" x14ac:dyDescent="0.3">
      <c r="A29" s="4" t="s">
        <v>261</v>
      </c>
      <c r="C29" s="44">
        <f ca="1">Dashboard_Monitoring!C41*C28-C27</f>
        <v>99.190633223448913</v>
      </c>
      <c r="F29" s="59">
        <f ca="1">E24</f>
        <v>28.868069194671097</v>
      </c>
      <c r="G29" s="59">
        <f ca="1">F29-F31</f>
        <v>5.7736138389342173</v>
      </c>
    </row>
    <row r="30" spans="1:8" ht="28.2" customHeight="1" x14ac:dyDescent="0.3">
      <c r="A30" s="4" t="s">
        <v>442</v>
      </c>
      <c r="C30" s="44">
        <f ca="1">C27+C29</f>
        <v>106.56039091942672</v>
      </c>
      <c r="F30" s="59" t="s">
        <v>463</v>
      </c>
      <c r="G30" s="59"/>
    </row>
    <row r="31" spans="1:8" ht="37.200000000000003" customHeight="1" x14ac:dyDescent="0.3">
      <c r="A31" s="16" t="s">
        <v>262</v>
      </c>
      <c r="C31" s="47">
        <f ca="1">(1-Dashboard_Monitoring!C42)*(C27+C29)</f>
        <v>21.31207818388534</v>
      </c>
      <c r="F31">
        <f ca="1">C34/D24*1000</f>
        <v>23.09445535573688</v>
      </c>
    </row>
    <row r="32" spans="1:8" ht="14.4" customHeight="1" x14ac:dyDescent="0.3">
      <c r="A32" s="249" t="s">
        <v>305</v>
      </c>
      <c r="B32" s="250"/>
      <c r="C32" s="250"/>
      <c r="D32" s="250"/>
      <c r="E32" s="250"/>
      <c r="F32" s="250"/>
      <c r="G32" s="250"/>
      <c r="H32" s="250"/>
    </row>
    <row r="33" spans="1:8" ht="26.4" x14ac:dyDescent="0.3">
      <c r="A33" s="10" t="s">
        <v>369</v>
      </c>
      <c r="B33" s="247" t="s">
        <v>412</v>
      </c>
      <c r="C33" s="48">
        <f ca="1">Dashboard_Monitoring!C42*C30</f>
        <v>85.24831273554139</v>
      </c>
      <c r="F33" s="59">
        <f ca="1">F29-F31-G29</f>
        <v>0</v>
      </c>
    </row>
    <row r="34" spans="1:8" ht="22.05" customHeight="1" x14ac:dyDescent="0.3">
      <c r="A34" s="10" t="s">
        <v>306</v>
      </c>
      <c r="B34" s="247"/>
      <c r="C34" s="63">
        <f ca="1">Dashboard_Monitoring!C42*C24</f>
        <v>1.893052505509752</v>
      </c>
      <c r="G34">
        <f ca="1">Dashboard_Monitoring!C42*C24</f>
        <v>1.893052505509752</v>
      </c>
    </row>
    <row r="35" spans="1:8" ht="14.4" customHeight="1" x14ac:dyDescent="0.3">
      <c r="A35" s="10" t="s">
        <v>307</v>
      </c>
      <c r="B35" s="247"/>
      <c r="C35" s="63">
        <f ca="1">Dashboard_Monitoring!C42*C25</f>
        <v>5.6113662785907931E-2</v>
      </c>
      <c r="G35">
        <f ca="1">Dashboard_Monitoring!C42*C25</f>
        <v>5.6113662785907931E-2</v>
      </c>
    </row>
    <row r="36" spans="1:8" x14ac:dyDescent="0.3">
      <c r="A36" s="115" t="s">
        <v>404</v>
      </c>
      <c r="B36" s="248"/>
      <c r="C36" s="68">
        <f ca="1">Dashboard_Monitoring!C42*C26</f>
        <v>3.4154940950543194E-2</v>
      </c>
    </row>
    <row r="37" spans="1:8" ht="15.6" customHeight="1" x14ac:dyDescent="0.3">
      <c r="A37" s="243" t="s">
        <v>263</v>
      </c>
      <c r="B37" s="244"/>
      <c r="C37" s="244"/>
      <c r="D37" s="244"/>
      <c r="E37" s="244"/>
      <c r="F37" s="244"/>
      <c r="G37" s="244"/>
      <c r="H37" s="245"/>
    </row>
    <row r="38" spans="1:8" ht="39.6" x14ac:dyDescent="0.3">
      <c r="A38" s="53" t="s">
        <v>308</v>
      </c>
      <c r="C38" s="54">
        <f ca="1">C28+C31+C24-C34+C25-C35+(C26-C36)</f>
        <v>64.432064828967583</v>
      </c>
    </row>
    <row r="40" spans="1:8" ht="15.6" customHeight="1" x14ac:dyDescent="0.3">
      <c r="A40" s="243" t="s">
        <v>264</v>
      </c>
      <c r="B40" s="244"/>
      <c r="C40" s="244"/>
      <c r="D40" s="244"/>
      <c r="E40" s="244"/>
      <c r="F40" s="244"/>
      <c r="G40" s="244"/>
      <c r="H40" s="245"/>
    </row>
    <row r="41" spans="1:8" x14ac:dyDescent="0.3">
      <c r="A41" s="251" t="s">
        <v>245</v>
      </c>
      <c r="B41" s="252"/>
      <c r="C41" s="1" t="s">
        <v>265</v>
      </c>
      <c r="D41" s="1" t="s">
        <v>266</v>
      </c>
      <c r="E41" s="183" t="s">
        <v>7</v>
      </c>
      <c r="F41" s="177"/>
      <c r="G41" s="177"/>
      <c r="H41" s="178"/>
    </row>
    <row r="42" spans="1:8" ht="14.4" customHeight="1" x14ac:dyDescent="0.3">
      <c r="A42" s="234" t="s">
        <v>96</v>
      </c>
      <c r="B42" s="235"/>
      <c r="C42" s="37">
        <f>Digestion_Balance!C7</f>
        <v>16.716071963310242</v>
      </c>
      <c r="D42" s="24">
        <f ca="1">IF(C38=0,0,C42/C38)</f>
        <v>0.2594371607938129</v>
      </c>
      <c r="E42" s="242" t="s">
        <v>267</v>
      </c>
      <c r="F42" s="140"/>
    </row>
    <row r="43" spans="1:8" ht="14.4" customHeight="1" x14ac:dyDescent="0.3">
      <c r="A43" s="232" t="s">
        <v>99</v>
      </c>
      <c r="B43" s="233"/>
      <c r="C43" s="39">
        <f>Digestion_Balance!C8</f>
        <v>0.89765796661376951</v>
      </c>
      <c r="D43" s="27">
        <f ca="1">IF(C38=0,0,C43/C38)</f>
        <v>1.3931851617615667E-2</v>
      </c>
      <c r="E43" s="240" t="s">
        <v>267</v>
      </c>
      <c r="F43" s="241"/>
    </row>
    <row r="44" spans="1:8" ht="14.4" customHeight="1" x14ac:dyDescent="0.3">
      <c r="A44" s="232" t="s">
        <v>105</v>
      </c>
      <c r="B44" s="233"/>
      <c r="C44" s="39">
        <f>Digestion_Balance!C10</f>
        <v>0.9589988350868226</v>
      </c>
      <c r="D44" s="27">
        <f ca="1">IF(C38=0,0,C44/C38)</f>
        <v>1.4883875561530549E-2</v>
      </c>
      <c r="E44" s="240" t="s">
        <v>267</v>
      </c>
      <c r="F44" s="241"/>
    </row>
    <row r="45" spans="1:8" ht="14.4" customHeight="1" x14ac:dyDescent="0.3">
      <c r="A45" s="232" t="s">
        <v>111</v>
      </c>
      <c r="B45" s="233"/>
      <c r="C45" s="39">
        <f>Digestion_Balance!C12</f>
        <v>0.29356091022491454</v>
      </c>
      <c r="D45" s="27">
        <f ca="1">IF(C38=0,0,C45/C38)</f>
        <v>4.5561307247278292E-3</v>
      </c>
      <c r="E45" s="240" t="s">
        <v>267</v>
      </c>
      <c r="F45" s="241"/>
    </row>
    <row r="46" spans="1:8" ht="14.4" customHeight="1" x14ac:dyDescent="0.3">
      <c r="A46" s="236" t="s">
        <v>114</v>
      </c>
      <c r="B46" s="237"/>
      <c r="C46" s="37">
        <f>Digestion_Balance!C13</f>
        <v>7.52642683982849E-2</v>
      </c>
      <c r="D46" s="24">
        <f ca="1">IF(C38=0,0,C46/C38)</f>
        <v>1.1681182125401533E-3</v>
      </c>
      <c r="E46" s="199" t="s">
        <v>267</v>
      </c>
      <c r="F46" s="141"/>
    </row>
    <row r="47" spans="1:8" ht="14.4" customHeight="1" x14ac:dyDescent="0.3">
      <c r="A47" s="232" t="s">
        <v>257</v>
      </c>
      <c r="B47" s="233"/>
      <c r="C47" s="39">
        <f ca="1">Digestion_Balance!C43</f>
        <v>-0.61087714694871065</v>
      </c>
      <c r="D47" s="27">
        <f ca="1">IF(C38=0,0,C47/C38)</f>
        <v>-9.4809494088115964E-3</v>
      </c>
      <c r="E47" s="240" t="s">
        <v>267</v>
      </c>
      <c r="F47" s="241"/>
    </row>
    <row r="48" spans="1:8" ht="14.4" customHeight="1" x14ac:dyDescent="0.3">
      <c r="A48" s="236" t="s">
        <v>268</v>
      </c>
      <c r="B48" s="237"/>
      <c r="C48" s="37">
        <f ca="1">Digestion_Balance!C33+'Pre-Desilication_Balance'!C55</f>
        <v>24.29347957108536</v>
      </c>
      <c r="D48" s="24">
        <f ca="1">IF(C38=0,0,C48/C38)</f>
        <v>0.37704021492360146</v>
      </c>
      <c r="E48" s="199" t="s">
        <v>267</v>
      </c>
      <c r="F48" s="141"/>
    </row>
    <row r="49" spans="1:7" ht="14.4" customHeight="1" x14ac:dyDescent="0.3">
      <c r="A49" s="64" t="s">
        <v>399</v>
      </c>
      <c r="B49" s="65"/>
      <c r="C49" s="37">
        <f ca="1">C24-C34</f>
        <v>0.47326312637743784</v>
      </c>
      <c r="D49" s="24">
        <f ca="1">IF(C38=0,0,C49/C38)</f>
        <v>7.3451491525794877E-3</v>
      </c>
      <c r="E49" s="199" t="s">
        <v>267</v>
      </c>
      <c r="F49" s="141"/>
      <c r="G49">
        <f ca="1">C49/Molar_Base_Data!D15*1000</f>
        <v>5.7736138389342173</v>
      </c>
    </row>
    <row r="50" spans="1:7" ht="14.4" customHeight="1" x14ac:dyDescent="0.3">
      <c r="A50" s="64" t="s">
        <v>400</v>
      </c>
      <c r="B50" s="65"/>
      <c r="C50" s="37">
        <f ca="1">C25-C35</f>
        <v>1.4028415696476976E-2</v>
      </c>
      <c r="D50" s="24">
        <f ca="1">IF(C38=0,0,C50/C38)</f>
        <v>2.1772413678988655E-4</v>
      </c>
      <c r="E50" s="240" t="s">
        <v>267</v>
      </c>
      <c r="F50" s="241"/>
      <c r="G50">
        <f ca="1">C50/Molar_Base_Data!D13*1000</f>
        <v>0.35079809193490807</v>
      </c>
    </row>
    <row r="51" spans="1:7" x14ac:dyDescent="0.3">
      <c r="A51" s="64" t="s">
        <v>403</v>
      </c>
      <c r="B51" s="65"/>
      <c r="C51" s="37">
        <f ca="1">C26-C36</f>
        <v>8.5387352376357986E-3</v>
      </c>
      <c r="D51" s="24">
        <f>IF(C37=0,0,C52/C37)</f>
        <v>0</v>
      </c>
      <c r="E51" s="25"/>
      <c r="G51">
        <f ca="1">C51/'Pre-Desilication_Balance'!D27*1000</f>
        <v>0.11523259430007826</v>
      </c>
    </row>
    <row r="52" spans="1:7" ht="14.4" customHeight="1" x14ac:dyDescent="0.3">
      <c r="A52" s="238" t="s">
        <v>401</v>
      </c>
      <c r="B52" s="239"/>
      <c r="C52" s="39">
        <f ca="1">C31</f>
        <v>21.31207818388534</v>
      </c>
      <c r="D52" s="27">
        <f ca="1">IF(C38=0,0,C52/C38)</f>
        <v>0.33076820121250849</v>
      </c>
      <c r="E52" s="123" t="s">
        <v>267</v>
      </c>
    </row>
    <row r="53" spans="1:7" x14ac:dyDescent="0.3">
      <c r="A53" s="212" t="s">
        <v>269</v>
      </c>
      <c r="B53" s="231"/>
      <c r="C53" s="14">
        <f ca="1">SUM(C42:C52)</f>
        <v>64.432064828967583</v>
      </c>
      <c r="D53" s="55">
        <f ca="1">IF(C38=0,0,C53/C38)</f>
        <v>1</v>
      </c>
    </row>
  </sheetData>
  <mergeCells count="29">
    <mergeCell ref="E48:F48"/>
    <mergeCell ref="E49:F49"/>
    <mergeCell ref="E50:F50"/>
    <mergeCell ref="A37:H37"/>
    <mergeCell ref="A1:H1"/>
    <mergeCell ref="A2:H2"/>
    <mergeCell ref="A17:H17"/>
    <mergeCell ref="B33:B36"/>
    <mergeCell ref="A8:H8"/>
    <mergeCell ref="A23:H23"/>
    <mergeCell ref="A32:H32"/>
    <mergeCell ref="A41:B41"/>
    <mergeCell ref="A40:H40"/>
    <mergeCell ref="A45:B45"/>
    <mergeCell ref="A47:B47"/>
    <mergeCell ref="E41:H41"/>
    <mergeCell ref="E47:F47"/>
    <mergeCell ref="E42:F42"/>
    <mergeCell ref="E43:F43"/>
    <mergeCell ref="E44:F44"/>
    <mergeCell ref="E45:F45"/>
    <mergeCell ref="E46:F46"/>
    <mergeCell ref="A53:B53"/>
    <mergeCell ref="A43:B43"/>
    <mergeCell ref="A42:B42"/>
    <mergeCell ref="A44:B44"/>
    <mergeCell ref="A46:B46"/>
    <mergeCell ref="A48:B48"/>
    <mergeCell ref="A52:B5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AD47"/>
  </sheetPr>
  <dimension ref="A1:K41"/>
  <sheetViews>
    <sheetView showGridLines="0" zoomScale="115" zoomScaleNormal="115" workbookViewId="0">
      <pane ySplit="3" topLeftCell="A29" activePane="bottomLeft" state="frozen"/>
      <selection pane="bottomLeft" activeCell="A14" sqref="A14:H14"/>
    </sheetView>
  </sheetViews>
  <sheetFormatPr defaultRowHeight="14.4" x14ac:dyDescent="0.3"/>
  <cols>
    <col min="1" max="1" width="55" customWidth="1"/>
    <col min="2" max="2" width="20" customWidth="1"/>
    <col min="3" max="3" width="16" customWidth="1"/>
    <col min="4" max="4" width="12" customWidth="1"/>
    <col min="5" max="7" width="16" customWidth="1"/>
    <col min="8" max="8" width="28" customWidth="1"/>
  </cols>
  <sheetData>
    <row r="1" spans="1:11" ht="22.05" customHeight="1" x14ac:dyDescent="0.3">
      <c r="A1" s="179" t="s">
        <v>270</v>
      </c>
      <c r="B1" s="177"/>
      <c r="C1" s="177"/>
      <c r="D1" s="177"/>
      <c r="E1" s="177"/>
      <c r="F1" s="177"/>
      <c r="G1" s="177"/>
      <c r="H1" s="178"/>
      <c r="I1" s="253"/>
      <c r="J1" s="150"/>
      <c r="K1" s="150"/>
    </row>
    <row r="2" spans="1:11" ht="22.05" customHeight="1" x14ac:dyDescent="0.3">
      <c r="A2" s="220" t="s">
        <v>271</v>
      </c>
      <c r="B2" s="177"/>
      <c r="C2" s="177"/>
      <c r="D2" s="177"/>
      <c r="E2" s="177"/>
      <c r="F2" s="177"/>
      <c r="G2" s="177"/>
      <c r="H2" s="178"/>
      <c r="I2" s="253"/>
      <c r="J2" s="150"/>
      <c r="K2" s="150"/>
    </row>
    <row r="3" spans="1:11" ht="40.049999999999997" customHeight="1" x14ac:dyDescent="0.3">
      <c r="A3" s="5" t="s">
        <v>186</v>
      </c>
      <c r="B3" s="5" t="s">
        <v>87</v>
      </c>
      <c r="C3" s="5" t="s">
        <v>272</v>
      </c>
      <c r="D3" s="5" t="s">
        <v>85</v>
      </c>
      <c r="E3" s="5" t="s">
        <v>273</v>
      </c>
      <c r="F3" s="5" t="s">
        <v>274</v>
      </c>
      <c r="G3" s="5" t="s">
        <v>275</v>
      </c>
      <c r="H3" s="5" t="s">
        <v>7</v>
      </c>
      <c r="I3" s="253"/>
      <c r="J3" s="150"/>
      <c r="K3" s="150"/>
    </row>
    <row r="4" spans="1:11" ht="22.05" customHeight="1" x14ac:dyDescent="0.3">
      <c r="A4" s="220" t="s">
        <v>276</v>
      </c>
      <c r="B4" s="177"/>
      <c r="C4" s="177"/>
      <c r="D4" s="177"/>
      <c r="E4" s="177"/>
      <c r="F4" s="177"/>
      <c r="G4" s="177"/>
      <c r="H4" s="178"/>
    </row>
    <row r="5" spans="1:11" x14ac:dyDescent="0.3">
      <c r="A5" s="10" t="s">
        <v>300</v>
      </c>
      <c r="C5" s="48">
        <f ca="1">Clarification_RedMud!C18</f>
        <v>115.9494659624722</v>
      </c>
      <c r="D5" s="49">
        <v>81.97</v>
      </c>
      <c r="E5" s="48">
        <f ca="1">C5/D5*1000</f>
        <v>1414.5353905388827</v>
      </c>
    </row>
    <row r="6" spans="1:11" x14ac:dyDescent="0.3">
      <c r="A6" s="10" t="s">
        <v>277</v>
      </c>
      <c r="C6" s="48">
        <f ca="1">Clarification_RedMud!C19</f>
        <v>3.4369618456368576</v>
      </c>
      <c r="D6" s="49">
        <v>39.99</v>
      </c>
      <c r="E6" s="48">
        <f ca="1">C6/D6*1000</f>
        <v>85.945532524052439</v>
      </c>
      <c r="G6" t="s">
        <v>312</v>
      </c>
      <c r="H6" t="s">
        <v>315</v>
      </c>
    </row>
    <row r="7" spans="1:11" x14ac:dyDescent="0.3">
      <c r="A7" s="10" t="s">
        <v>406</v>
      </c>
      <c r="C7" s="48">
        <f ca="1">Clarification_RedMud!C20</f>
        <v>2.0919901332207687</v>
      </c>
      <c r="D7" s="49"/>
      <c r="E7" s="48"/>
      <c r="G7" s="59">
        <f ca="1">E5</f>
        <v>1414.5353905388827</v>
      </c>
      <c r="H7" s="59">
        <f ca="1">E15</f>
        <v>1093.384330459829</v>
      </c>
    </row>
    <row r="8" spans="1:11" x14ac:dyDescent="0.3">
      <c r="A8" s="10" t="s">
        <v>278</v>
      </c>
      <c r="C8" s="48">
        <f ca="1">Clarification_RedMud!C21</f>
        <v>361.11812710291213</v>
      </c>
      <c r="D8" s="49">
        <v>18.02</v>
      </c>
      <c r="E8" s="48">
        <f ca="1">C8/D8*1000</f>
        <v>20039.851670527867</v>
      </c>
      <c r="G8" s="59">
        <f ca="1">G7-H7-H8</f>
        <v>0</v>
      </c>
      <c r="H8">
        <f ca="1">C26/D15*1000</f>
        <v>321.15106007905354</v>
      </c>
    </row>
    <row r="9" spans="1:11" ht="22.05" customHeight="1" x14ac:dyDescent="0.3">
      <c r="A9" s="10" t="s">
        <v>354</v>
      </c>
      <c r="C9" s="63">
        <f ca="1">SUM(C5:C8)</f>
        <v>482.59654504424196</v>
      </c>
      <c r="D9" s="97"/>
      <c r="E9" s="63"/>
    </row>
    <row r="10" spans="1:11" x14ac:dyDescent="0.3">
      <c r="A10" s="179" t="s">
        <v>353</v>
      </c>
      <c r="B10" s="177"/>
      <c r="C10" s="177"/>
      <c r="D10" s="177"/>
      <c r="E10" s="177"/>
      <c r="F10" s="177"/>
      <c r="G10" s="177"/>
      <c r="H10" s="178"/>
    </row>
    <row r="11" spans="1:11" x14ac:dyDescent="0.3">
      <c r="A11" s="10" t="s">
        <v>357</v>
      </c>
      <c r="C11" s="98">
        <f ca="1">E11*Molar_Base_Data!D16/1000</f>
        <v>272.27472487369613</v>
      </c>
      <c r="D11" s="97"/>
      <c r="E11" s="63">
        <f ca="1">E5*Dashboard_Monitoring!C38</f>
        <v>3490.7016009448225</v>
      </c>
    </row>
    <row r="12" spans="1:11" x14ac:dyDescent="0.3">
      <c r="A12" s="10" t="s">
        <v>358</v>
      </c>
      <c r="C12" s="63">
        <f ca="1">C11/C8*1000</f>
        <v>753.97689686206957</v>
      </c>
      <c r="D12" s="97"/>
      <c r="E12" s="63"/>
    </row>
    <row r="13" spans="1:11" x14ac:dyDescent="0.3">
      <c r="A13" s="10" t="s">
        <v>359</v>
      </c>
      <c r="C13" s="63">
        <f ca="1">C9+C11</f>
        <v>754.87126991793809</v>
      </c>
      <c r="D13" s="97"/>
      <c r="E13" s="63"/>
    </row>
    <row r="14" spans="1:11" x14ac:dyDescent="0.3">
      <c r="A14" s="179" t="s">
        <v>279</v>
      </c>
      <c r="B14" s="177"/>
      <c r="C14" s="177"/>
      <c r="D14" s="177"/>
      <c r="E14" s="177"/>
      <c r="F14" s="177"/>
      <c r="G14" s="177"/>
      <c r="H14" s="178"/>
    </row>
    <row r="15" spans="1:11" ht="22.05" customHeight="1" x14ac:dyDescent="0.3">
      <c r="A15" s="4" t="s">
        <v>280</v>
      </c>
      <c r="C15" s="44">
        <f ca="1">C5*Dashboard_Monitoring!C36</f>
        <v>89.624713567792185</v>
      </c>
      <c r="D15" s="45">
        <v>81.97</v>
      </c>
      <c r="E15" s="44">
        <f ca="1">C15/D15*1000</f>
        <v>1093.384330459829</v>
      </c>
    </row>
    <row r="16" spans="1:11" x14ac:dyDescent="0.3">
      <c r="A16" s="4" t="s">
        <v>281</v>
      </c>
      <c r="C16" s="44">
        <f ca="1">E15*2*18.02/1000</f>
        <v>39.405571269772231</v>
      </c>
      <c r="D16" s="45">
        <v>18.02</v>
      </c>
    </row>
    <row r="17" spans="1:8" x14ac:dyDescent="0.3">
      <c r="A17" s="2" t="s">
        <v>282</v>
      </c>
      <c r="C17" s="56">
        <f ca="1">E15*78/1000</f>
        <v>85.28397777586666</v>
      </c>
      <c r="D17" s="45">
        <v>78</v>
      </c>
      <c r="E17" s="44">
        <f ca="1">C17/D17*1000</f>
        <v>1093.384330459829</v>
      </c>
      <c r="F17" s="44">
        <f ca="1">C17</f>
        <v>85.28397777586666</v>
      </c>
    </row>
    <row r="18" spans="1:8" x14ac:dyDescent="0.3">
      <c r="A18" s="21" t="s">
        <v>283</v>
      </c>
      <c r="C18" s="48">
        <f ca="1">E15*39.99/1000</f>
        <v>43.724439375088565</v>
      </c>
      <c r="D18" s="49">
        <v>39.99</v>
      </c>
      <c r="E18" s="48">
        <f ca="1">C18/D18*1000</f>
        <v>1093.384330459829</v>
      </c>
    </row>
    <row r="19" spans="1:8" x14ac:dyDescent="0.3">
      <c r="A19" t="s">
        <v>533</v>
      </c>
    </row>
    <row r="20" spans="1:8" ht="22.05" customHeight="1" x14ac:dyDescent="0.3">
      <c r="A20" s="179" t="s">
        <v>284</v>
      </c>
      <c r="B20" s="177"/>
      <c r="C20" s="177"/>
      <c r="D20" s="177"/>
      <c r="E20" s="177"/>
      <c r="F20" s="177"/>
      <c r="G20" s="177"/>
      <c r="H20" s="178"/>
    </row>
    <row r="21" spans="1:8" x14ac:dyDescent="0.3">
      <c r="A21" s="4" t="s">
        <v>285</v>
      </c>
      <c r="C21" s="44">
        <f ca="1">C17</f>
        <v>85.28397777586666</v>
      </c>
      <c r="D21" s="91">
        <f>Molar_Base_Data!D16</f>
        <v>78</v>
      </c>
      <c r="E21">
        <f ca="1">C21/D21*1000</f>
        <v>1093.384330459829</v>
      </c>
      <c r="F21" t="s">
        <v>312</v>
      </c>
      <c r="G21" t="s">
        <v>315</v>
      </c>
    </row>
    <row r="22" spans="1:8" ht="26.4" x14ac:dyDescent="0.3">
      <c r="A22" s="4" t="s">
        <v>286</v>
      </c>
      <c r="C22" s="44">
        <f ca="1">C17*Dashboard_Monitoring!C39/(1-Dashboard_Monitoring!C39)</f>
        <v>9.4759975306518527</v>
      </c>
      <c r="F22" s="59">
        <f ca="1">C8</f>
        <v>361.11812710291213</v>
      </c>
      <c r="G22" s="59">
        <f ca="1">+C22+C16+C33</f>
        <v>369.55046100543842</v>
      </c>
    </row>
    <row r="23" spans="1:8" ht="15.6" x14ac:dyDescent="0.3">
      <c r="A23" s="53" t="s">
        <v>287</v>
      </c>
      <c r="C23" s="54">
        <f ca="1">C21+C22</f>
        <v>94.759975306518513</v>
      </c>
    </row>
    <row r="25" spans="1:8" x14ac:dyDescent="0.3">
      <c r="A25" s="179" t="s">
        <v>470</v>
      </c>
      <c r="B25" s="177"/>
      <c r="C25" s="177"/>
      <c r="D25" s="177"/>
      <c r="E25" s="177"/>
      <c r="F25" s="177"/>
      <c r="G25" s="177"/>
      <c r="H25" s="178"/>
    </row>
    <row r="26" spans="1:8" ht="22.05" customHeight="1" x14ac:dyDescent="0.3">
      <c r="A26" s="6" t="s">
        <v>288</v>
      </c>
      <c r="C26" s="37">
        <f ca="1">C5*(1-Dashboard_Monitoring!C36)</f>
        <v>26.324752394680022</v>
      </c>
    </row>
    <row r="27" spans="1:8" ht="22.05" customHeight="1" x14ac:dyDescent="0.3">
      <c r="A27" s="6" t="s">
        <v>468</v>
      </c>
      <c r="C27" s="37">
        <f ca="1">C6+C18</f>
        <v>47.161401220725423</v>
      </c>
      <c r="D27" s="91">
        <f>D18</f>
        <v>39.99</v>
      </c>
      <c r="E27">
        <f ca="1">C27/D27*1000</f>
        <v>1179.3298629838816</v>
      </c>
    </row>
    <row r="28" spans="1:8" ht="22.05" customHeight="1" x14ac:dyDescent="0.3">
      <c r="A28" s="6" t="s">
        <v>416</v>
      </c>
      <c r="C28" s="37">
        <f ca="1">C7</f>
        <v>2.0919901332207687</v>
      </c>
    </row>
    <row r="29" spans="1:8" ht="22.05" customHeight="1" x14ac:dyDescent="0.3">
      <c r="A29" s="179" t="s">
        <v>471</v>
      </c>
      <c r="B29" s="177"/>
      <c r="C29" s="177"/>
      <c r="D29" s="177"/>
      <c r="E29" s="177"/>
      <c r="F29" s="177"/>
      <c r="G29" s="177"/>
      <c r="H29" s="178"/>
    </row>
    <row r="30" spans="1:8" ht="22.05" customHeight="1" x14ac:dyDescent="0.3">
      <c r="A30" s="6" t="s">
        <v>492</v>
      </c>
      <c r="C30" s="57">
        <f ca="1">E30*D30/1000</f>
        <v>4.7161401220725425</v>
      </c>
      <c r="D30">
        <v>39.99</v>
      </c>
      <c r="E30">
        <f ca="1">E27*Dashboard_Monitoring!C40</f>
        <v>117.93298629838817</v>
      </c>
    </row>
    <row r="31" spans="1:8" ht="22.05" customHeight="1" x14ac:dyDescent="0.3">
      <c r="A31" s="6" t="s">
        <v>417</v>
      </c>
      <c r="B31" s="15">
        <f>Dashboard_Monitoring!C40</f>
        <v>0.1</v>
      </c>
      <c r="C31" s="37">
        <f ca="1">E31*D31/1000</f>
        <v>6.3672019302499763</v>
      </c>
      <c r="D31" s="91">
        <f>'SPENT LIQUOR CONDITIONING'!D45</f>
        <v>107.97999999999999</v>
      </c>
      <c r="E31">
        <f ca="1">E27*Dashboard_Monitoring!C40/2</f>
        <v>58.966493149194086</v>
      </c>
      <c r="G31" t="s">
        <v>490</v>
      </c>
      <c r="H31" t="s">
        <v>491</v>
      </c>
    </row>
    <row r="32" spans="1:8" ht="22.05" customHeight="1" x14ac:dyDescent="0.3">
      <c r="A32" s="6" t="s">
        <v>472</v>
      </c>
      <c r="B32" s="15"/>
      <c r="C32" s="37">
        <f ca="1">E32*D32/1000</f>
        <v>1.0625762065484774</v>
      </c>
      <c r="D32" s="45">
        <v>18.02</v>
      </c>
      <c r="E32">
        <f ca="1">E31</f>
        <v>58.966493149194086</v>
      </c>
      <c r="G32" s="59">
        <f ca="1">C18+C6</f>
        <v>47.161401220725423</v>
      </c>
      <c r="H32" s="59">
        <f ca="1">C34+C30</f>
        <v>47.161401220725438</v>
      </c>
    </row>
    <row r="33" spans="1:8" x14ac:dyDescent="0.3">
      <c r="A33" s="6" t="s">
        <v>290</v>
      </c>
      <c r="C33" s="37">
        <f ca="1">Digestion_Balance!C58-C16-C22+C32</f>
        <v>320.66889220501434</v>
      </c>
    </row>
    <row r="34" spans="1:8" x14ac:dyDescent="0.3">
      <c r="A34" s="21" t="s">
        <v>291</v>
      </c>
      <c r="C34" s="46">
        <f ca="1">D30*E34/1000</f>
        <v>42.445261098652892</v>
      </c>
      <c r="E34">
        <f ca="1">E27-E30</f>
        <v>1061.3968766854935</v>
      </c>
    </row>
    <row r="36" spans="1:8" x14ac:dyDescent="0.3">
      <c r="A36" s="220" t="s">
        <v>329</v>
      </c>
      <c r="B36" s="177"/>
      <c r="C36" s="177"/>
      <c r="D36" s="177"/>
      <c r="E36" s="177"/>
      <c r="F36" s="177"/>
      <c r="G36" s="177"/>
      <c r="H36" s="178"/>
    </row>
    <row r="37" spans="1:8" x14ac:dyDescent="0.3">
      <c r="A37" s="16" t="s">
        <v>352</v>
      </c>
      <c r="C37" s="47">
        <f ca="1">C26+C27+C33</f>
        <v>394.15504582041979</v>
      </c>
    </row>
    <row r="38" spans="1:8" x14ac:dyDescent="0.3">
      <c r="A38" s="16" t="s">
        <v>352</v>
      </c>
      <c r="C38" s="47">
        <f ca="1">Clarification_RedMud!C33</f>
        <v>85.24831273554139</v>
      </c>
    </row>
    <row r="39" spans="1:8" ht="26.4" x14ac:dyDescent="0.3">
      <c r="A39" s="16" t="s">
        <v>292</v>
      </c>
      <c r="C39" s="47">
        <f ca="1">C38*(101.96/156.01)</f>
        <v>55.713851461546049</v>
      </c>
    </row>
    <row r="40" spans="1:8" x14ac:dyDescent="0.3">
      <c r="A40" s="16" t="s">
        <v>293</v>
      </c>
      <c r="C40" s="47">
        <f ca="1">C38*(3*18.02/156.01)</f>
        <v>29.539925559152415</v>
      </c>
    </row>
    <row r="41" spans="1:8" x14ac:dyDescent="0.3">
      <c r="A41" s="254" t="s">
        <v>294</v>
      </c>
      <c r="B41" s="177"/>
      <c r="C41" s="177"/>
      <c r="D41" s="177"/>
      <c r="E41" s="177"/>
      <c r="F41" s="177"/>
      <c r="G41" s="177"/>
      <c r="H41" s="178"/>
    </row>
  </sheetData>
  <mergeCells count="11">
    <mergeCell ref="I1:K3"/>
    <mergeCell ref="A1:H1"/>
    <mergeCell ref="A14:H14"/>
    <mergeCell ref="A4:H4"/>
    <mergeCell ref="A41:H41"/>
    <mergeCell ref="A36:H36"/>
    <mergeCell ref="A2:H2"/>
    <mergeCell ref="A25:H25"/>
    <mergeCell ref="A20:H20"/>
    <mergeCell ref="A10:H10"/>
    <mergeCell ref="A29:H29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33DBF-BED6-4E95-B0F4-CADABA08BA1D}">
  <sheetPr codeName="Sheet7"/>
  <dimension ref="A1:I68"/>
  <sheetViews>
    <sheetView topLeftCell="A40" workbookViewId="0">
      <selection activeCell="C44" sqref="C44"/>
    </sheetView>
  </sheetViews>
  <sheetFormatPr defaultRowHeight="14.4" x14ac:dyDescent="0.3"/>
  <cols>
    <col min="1" max="1" width="30" customWidth="1"/>
    <col min="2" max="2" width="26.77734375" customWidth="1"/>
    <col min="3" max="3" width="29.5546875" customWidth="1"/>
    <col min="4" max="4" width="20.88671875" customWidth="1"/>
    <col min="5" max="5" width="24.21875" customWidth="1"/>
    <col min="6" max="6" width="20.21875" customWidth="1"/>
    <col min="7" max="7" width="20.6640625" customWidth="1"/>
  </cols>
  <sheetData>
    <row r="1" spans="1:9" x14ac:dyDescent="0.3">
      <c r="A1" s="179" t="s">
        <v>366</v>
      </c>
      <c r="B1" s="177"/>
      <c r="C1" s="177"/>
      <c r="D1" s="177"/>
      <c r="E1" s="177"/>
      <c r="F1" s="177"/>
      <c r="G1" s="177"/>
      <c r="H1" s="178"/>
    </row>
    <row r="2" spans="1:9" x14ac:dyDescent="0.3">
      <c r="A2" s="220" t="s">
        <v>271</v>
      </c>
      <c r="B2" s="177"/>
      <c r="C2" s="177"/>
      <c r="D2" s="177"/>
      <c r="E2" s="177"/>
      <c r="F2" s="177"/>
      <c r="G2" s="177"/>
      <c r="H2" s="178"/>
    </row>
    <row r="3" spans="1:9" ht="39.6" x14ac:dyDescent="0.3">
      <c r="A3" s="5" t="s">
        <v>186</v>
      </c>
      <c r="B3" s="5" t="s">
        <v>87</v>
      </c>
      <c r="C3" s="5" t="s">
        <v>272</v>
      </c>
      <c r="D3" s="5" t="s">
        <v>85</v>
      </c>
      <c r="E3" s="5" t="s">
        <v>273</v>
      </c>
      <c r="F3" s="5" t="s">
        <v>274</v>
      </c>
      <c r="G3" s="5" t="s">
        <v>275</v>
      </c>
      <c r="H3" s="5" t="s">
        <v>7</v>
      </c>
    </row>
    <row r="4" spans="1:9" x14ac:dyDescent="0.3">
      <c r="A4" s="220" t="s">
        <v>367</v>
      </c>
      <c r="B4" s="177"/>
      <c r="C4" s="255"/>
      <c r="D4" s="177"/>
      <c r="E4" s="177"/>
      <c r="F4" s="177"/>
      <c r="G4" s="177"/>
      <c r="H4" s="178"/>
    </row>
    <row r="5" spans="1:9" ht="26.4" x14ac:dyDescent="0.3">
      <c r="A5" s="6" t="s">
        <v>288</v>
      </c>
      <c r="C5" s="104">
        <f ca="1">Precipitation_Hydrate!C26</f>
        <v>26.324752394680022</v>
      </c>
    </row>
    <row r="6" spans="1:9" ht="26.4" x14ac:dyDescent="0.3">
      <c r="A6" s="6" t="s">
        <v>289</v>
      </c>
      <c r="C6" s="104">
        <f ca="1">Precipitation_Hydrate!C27</f>
        <v>47.161401220725423</v>
      </c>
      <c r="F6" t="s">
        <v>490</v>
      </c>
      <c r="G6" t="s">
        <v>491</v>
      </c>
    </row>
    <row r="7" spans="1:9" x14ac:dyDescent="0.3">
      <c r="A7" s="6" t="s">
        <v>416</v>
      </c>
      <c r="C7" s="104">
        <f ca="1">Precipitation_Hydrate!C28</f>
        <v>2.0919901332207687</v>
      </c>
      <c r="F7" s="59">
        <f ca="1">C11</f>
        <v>42.445261098652892</v>
      </c>
      <c r="G7" s="59">
        <f ca="1">C50</f>
        <v>44.796234181576743</v>
      </c>
      <c r="H7">
        <f ca="1">E21</f>
        <v>1062.8000690532333</v>
      </c>
      <c r="I7">
        <f ca="1">E50</f>
        <v>1120.1859010146723</v>
      </c>
    </row>
    <row r="8" spans="1:9" x14ac:dyDescent="0.3">
      <c r="A8" s="6" t="s">
        <v>362</v>
      </c>
      <c r="C8" s="104">
        <f ca="1">Precipitation_Hydrate!C31</f>
        <v>6.3672019302499763</v>
      </c>
      <c r="D8" s="100">
        <f>Molar_Base_Data!D28*2+14+3*Molar_Base_Data!D29</f>
        <v>107.97999999999999</v>
      </c>
      <c r="E8" s="100">
        <f ca="1">C8/D8*1000</f>
        <v>58.966493149194079</v>
      </c>
      <c r="F8" s="59">
        <f ca="1">C16</f>
        <v>5.6113662785907931E-2</v>
      </c>
      <c r="H8">
        <f ca="1">E42</f>
        <v>57.385831961438917</v>
      </c>
      <c r="I8">
        <f ca="1">E45*2</f>
        <v>60.547154336949241</v>
      </c>
    </row>
    <row r="9" spans="1:9" ht="26.4" x14ac:dyDescent="0.3">
      <c r="A9" s="6" t="s">
        <v>290</v>
      </c>
      <c r="C9" s="104">
        <f ca="1">Precipitation_Hydrate!C33</f>
        <v>320.66889220501434</v>
      </c>
      <c r="F9" s="59">
        <f ca="1">C42</f>
        <v>2.2948594201379424</v>
      </c>
      <c r="H9">
        <f ca="1">E8*2</f>
        <v>117.93298629838816</v>
      </c>
      <c r="I9">
        <f ca="1">I7+I8</f>
        <v>1180.7330553516215</v>
      </c>
    </row>
    <row r="10" spans="1:9" x14ac:dyDescent="0.3">
      <c r="A10" s="6" t="s">
        <v>354</v>
      </c>
      <c r="C10" s="104">
        <f ca="1">SUM(C5:C9)</f>
        <v>402.61423788389055</v>
      </c>
      <c r="F10" s="59">
        <f ca="1">F7+F8+F9</f>
        <v>44.796234181576743</v>
      </c>
      <c r="H10">
        <f ca="1">H7+H9</f>
        <v>1180.7330553516215</v>
      </c>
    </row>
    <row r="11" spans="1:9" ht="26.4" x14ac:dyDescent="0.3">
      <c r="A11" s="21" t="s">
        <v>370</v>
      </c>
      <c r="C11" s="104">
        <f ca="1">Precipitation_Hydrate!C34</f>
        <v>42.445261098652892</v>
      </c>
    </row>
    <row r="13" spans="1:9" x14ac:dyDescent="0.3">
      <c r="A13" s="220" t="s">
        <v>368</v>
      </c>
      <c r="B13" s="177"/>
      <c r="C13" s="177"/>
      <c r="D13" s="177"/>
      <c r="E13" s="177"/>
      <c r="F13" s="177"/>
      <c r="G13" s="177"/>
      <c r="H13" s="178"/>
    </row>
    <row r="14" spans="1:9" ht="26.4" x14ac:dyDescent="0.3">
      <c r="A14" s="10" t="s">
        <v>369</v>
      </c>
      <c r="C14" s="103">
        <f ca="1">Clarification_RedMud!C33</f>
        <v>85.24831273554139</v>
      </c>
    </row>
    <row r="15" spans="1:9" ht="26.4" x14ac:dyDescent="0.3">
      <c r="A15" s="10" t="s">
        <v>306</v>
      </c>
      <c r="C15" s="103">
        <f ca="1">Clarification_RedMud!C34</f>
        <v>1.893052505509752</v>
      </c>
    </row>
    <row r="16" spans="1:9" x14ac:dyDescent="0.3">
      <c r="A16" s="10" t="s">
        <v>307</v>
      </c>
      <c r="C16" s="103">
        <f ca="1">Clarification_RedMud!C35</f>
        <v>5.6113662785907931E-2</v>
      </c>
    </row>
    <row r="17" spans="1:8" x14ac:dyDescent="0.3">
      <c r="A17" s="115" t="s">
        <v>404</v>
      </c>
      <c r="C17" s="103">
        <f ca="1">Clarification_RedMud!C36</f>
        <v>3.4154940950543194E-2</v>
      </c>
    </row>
    <row r="18" spans="1:8" x14ac:dyDescent="0.3">
      <c r="A18" s="6" t="s">
        <v>354</v>
      </c>
      <c r="C18" s="103">
        <f ca="1">SUM(C14:C16)</f>
        <v>87.197478903837052</v>
      </c>
    </row>
    <row r="19" spans="1:8" x14ac:dyDescent="0.3">
      <c r="C19" s="100"/>
    </row>
    <row r="20" spans="1:8" x14ac:dyDescent="0.3">
      <c r="A20" s="220" t="s">
        <v>428</v>
      </c>
      <c r="B20" s="177"/>
      <c r="C20" s="177"/>
      <c r="D20" s="177"/>
      <c r="E20" s="177"/>
      <c r="F20" s="177"/>
      <c r="G20" s="177"/>
      <c r="H20" s="178"/>
    </row>
    <row r="21" spans="1:8" x14ac:dyDescent="0.3">
      <c r="A21" s="100" t="s">
        <v>436</v>
      </c>
      <c r="C21" s="103">
        <f ca="1">C11+C16</f>
        <v>42.501374761438804</v>
      </c>
      <c r="D21" s="106">
        <f>Molar_Base_Data!D13</f>
        <v>39.99</v>
      </c>
      <c r="E21" s="100">
        <f ca="1">C21/D21*1000</f>
        <v>1062.8000690532333</v>
      </c>
    </row>
    <row r="22" spans="1:8" x14ac:dyDescent="0.3">
      <c r="A22" s="100" t="s">
        <v>418</v>
      </c>
      <c r="C22" s="103">
        <f ca="1">C7+C17</f>
        <v>2.1261450741713119</v>
      </c>
      <c r="D22" s="106">
        <f>Digestion_Balance!D9</f>
        <v>74.099999999999994</v>
      </c>
      <c r="E22" s="100">
        <f ca="1">C22/D22*1000</f>
        <v>28.692915980719459</v>
      </c>
    </row>
    <row r="23" spans="1:8" x14ac:dyDescent="0.3">
      <c r="A23" s="220" t="s">
        <v>351</v>
      </c>
      <c r="B23" s="177"/>
      <c r="C23" s="177"/>
      <c r="D23" s="177"/>
      <c r="E23" s="177"/>
      <c r="F23" s="177"/>
      <c r="G23" s="177"/>
      <c r="H23" s="178"/>
    </row>
    <row r="24" spans="1:8" x14ac:dyDescent="0.3">
      <c r="A24" s="100" t="s">
        <v>429</v>
      </c>
      <c r="C24" s="103">
        <f ca="1">C40</f>
        <v>0</v>
      </c>
    </row>
    <row r="25" spans="1:8" x14ac:dyDescent="0.3">
      <c r="A25" s="100" t="s">
        <v>430</v>
      </c>
      <c r="C25" s="100">
        <f ca="1">'Pre-Desilication_Balance'!C53</f>
        <v>0.62103612404726327</v>
      </c>
    </row>
    <row r="26" spans="1:8" x14ac:dyDescent="0.3">
      <c r="A26" s="100" t="s">
        <v>375</v>
      </c>
      <c r="C26" s="103">
        <f ca="1">C9+C14-C24</f>
        <v>405.91720494055573</v>
      </c>
      <c r="D26" s="107" t="str">
        <f ca="1">IF(C26='Pre-Desilication_Balance'!C20,"✔SUFFICIENT","✘ INSUFFICIENT COMPOSITION")</f>
        <v>✘ INSUFFICIENT COMPOSITION</v>
      </c>
      <c r="E26" s="108" t="s">
        <v>425</v>
      </c>
      <c r="F26" s="108">
        <f>'Pre-Desilication_Balance'!C20</f>
        <v>330</v>
      </c>
    </row>
    <row r="27" spans="1:8" x14ac:dyDescent="0.3">
      <c r="A27" s="100" t="s">
        <v>376</v>
      </c>
      <c r="C27" s="105">
        <f ca="1">(C26-F26)/C26</f>
        <v>0.18702632954834564</v>
      </c>
      <c r="E27" s="108"/>
      <c r="F27" s="108"/>
    </row>
    <row r="28" spans="1:8" x14ac:dyDescent="0.3">
      <c r="A28" s="100" t="s">
        <v>522</v>
      </c>
      <c r="C28" s="100">
        <f ca="1">C27*C26</f>
        <v>75.917204940555735</v>
      </c>
      <c r="E28" s="108"/>
      <c r="F28" s="108"/>
    </row>
    <row r="29" spans="1:8" x14ac:dyDescent="0.3">
      <c r="A29" s="220" t="s">
        <v>431</v>
      </c>
      <c r="B29" s="177"/>
      <c r="C29" s="177"/>
      <c r="D29" s="177"/>
      <c r="E29" s="177"/>
      <c r="F29" s="177"/>
      <c r="G29" s="177"/>
      <c r="H29" s="178"/>
    </row>
    <row r="30" spans="1:8" x14ac:dyDescent="0.3">
      <c r="A30" s="100" t="s">
        <v>377</v>
      </c>
      <c r="C30" s="103">
        <f ca="1">C21/(C14+C9)*1000</f>
        <v>104.70454133044912</v>
      </c>
      <c r="E30" s="108"/>
      <c r="F30" s="108"/>
    </row>
    <row r="31" spans="1:8" x14ac:dyDescent="0.3">
      <c r="A31" s="100" t="s">
        <v>378</v>
      </c>
      <c r="C31" s="103">
        <f ca="1">C21/F26*1000</f>
        <v>128.79204473163276</v>
      </c>
      <c r="E31" s="108"/>
      <c r="F31" s="109"/>
    </row>
    <row r="32" spans="1:8" x14ac:dyDescent="0.3">
      <c r="A32" s="100" t="s">
        <v>382</v>
      </c>
      <c r="C32" s="103">
        <f ca="1">C31+C42</f>
        <v>131.08690415177071</v>
      </c>
      <c r="E32" s="108"/>
      <c r="F32" s="109"/>
    </row>
    <row r="33" spans="1:8" x14ac:dyDescent="0.3">
      <c r="A33" s="100" t="s">
        <v>379</v>
      </c>
      <c r="C33" s="103">
        <f ca="1">C21/('Pre-Desilication_Balance'!C20+'Pre-Desilication_Balance'!C19)*1000</f>
        <v>118.05937433733001</v>
      </c>
      <c r="D33" s="112" t="str">
        <f ca="1">IF(C33=Dashboard_Monitoring!C32,"✔SUFFICIENT","✘ INSUFFICIENT COMPOSITION")</f>
        <v>✘ INSUFFICIENT COMPOSITION</v>
      </c>
      <c r="E33" s="108" t="s">
        <v>380</v>
      </c>
      <c r="F33" s="109">
        <f>Dashboard_Monitoring!C32</f>
        <v>141.44039916992188</v>
      </c>
    </row>
    <row r="34" spans="1:8" x14ac:dyDescent="0.3">
      <c r="A34" s="111" t="s">
        <v>374</v>
      </c>
      <c r="C34" s="105">
        <f ca="1">E21/(E21+E8)</f>
        <v>0.94743425670183834</v>
      </c>
      <c r="D34" s="112" t="str">
        <f ca="1">IF(C34&lt;Dashboard_Monitoring!C44,"✘ High Na2CO3","✔ SUFFICIENT CAUSTICITY")</f>
        <v>✔ SUFFICIENT CAUSTICITY</v>
      </c>
      <c r="E34" s="108" t="s">
        <v>424</v>
      </c>
      <c r="F34" s="110">
        <f ca="1">E8/(E21+E8)</f>
        <v>5.2565743298161646E-2</v>
      </c>
    </row>
    <row r="35" spans="1:8" x14ac:dyDescent="0.3">
      <c r="A35" s="220" t="s">
        <v>586</v>
      </c>
      <c r="B35" s="177"/>
      <c r="C35" s="177"/>
      <c r="D35" s="177"/>
      <c r="E35" s="177"/>
      <c r="F35" s="177"/>
      <c r="G35" s="177"/>
      <c r="H35" s="178"/>
    </row>
    <row r="36" spans="1:8" ht="22.8" x14ac:dyDescent="0.3">
      <c r="A36" s="101" t="s">
        <v>423</v>
      </c>
      <c r="B36" s="15">
        <f ca="1">(Dashboard_Monitoring!C44-C34)</f>
        <v>-9.7434256701838362E-2</v>
      </c>
      <c r="C36" s="100">
        <f ca="1">D36*E36/1000</f>
        <v>0</v>
      </c>
      <c r="D36">
        <f>D8</f>
        <v>107.97999999999999</v>
      </c>
      <c r="E36" s="100">
        <f ca="1">IF(C34&lt;Dashboard_Monitoring!C44,(E21+E8)*B36,0)</f>
        <v>0</v>
      </c>
      <c r="F36">
        <f ca="1">E36/(E21+E8)</f>
        <v>0</v>
      </c>
    </row>
    <row r="37" spans="1:8" ht="26.4" x14ac:dyDescent="0.3">
      <c r="A37" s="10" t="s">
        <v>421</v>
      </c>
      <c r="C37" s="103"/>
      <c r="D37" s="91"/>
      <c r="E37" s="100">
        <f ca="1">IF(C34&lt;Dashboard_Monitoring!C44,E36/Dashboard_Monitoring!C43,0)</f>
        <v>0</v>
      </c>
    </row>
    <row r="38" spans="1:8" x14ac:dyDescent="0.3">
      <c r="A38" s="10" t="s">
        <v>422</v>
      </c>
      <c r="C38" s="103"/>
      <c r="D38" s="91"/>
      <c r="E38" s="100">
        <f ca="1">E22</f>
        <v>28.692915980719459</v>
      </c>
      <c r="F38" t="str">
        <f ca="1">IF(E38&gt;=E37,"✔SUFFICIENT","✘ INSUFFICIENT COMPOSITION")</f>
        <v>✔SUFFICIENT</v>
      </c>
    </row>
    <row r="39" spans="1:8" x14ac:dyDescent="0.3">
      <c r="A39" s="10" t="s">
        <v>419</v>
      </c>
      <c r="B39" t="str">
        <f ca="1">IF(E39=0,"Provided By Liquor","Added Burnt lime")</f>
        <v>Provided By Liquor</v>
      </c>
      <c r="C39" s="103">
        <f ca="1">D39*E39/1000</f>
        <v>0</v>
      </c>
      <c r="D39" s="91">
        <f>Molar_Base_Data!D8</f>
        <v>56.08</v>
      </c>
      <c r="E39" s="100">
        <f ca="1">IF(E37&lt;E22,0,E37-E22)</f>
        <v>0</v>
      </c>
    </row>
    <row r="40" spans="1:8" ht="26.4" x14ac:dyDescent="0.3">
      <c r="A40" s="10" t="s">
        <v>420</v>
      </c>
      <c r="C40" s="103">
        <f ca="1">D40*E40/1000</f>
        <v>0</v>
      </c>
      <c r="D40" s="91">
        <v>18.02</v>
      </c>
      <c r="E40" s="100">
        <f ca="1">E39</f>
        <v>0</v>
      </c>
    </row>
    <row r="41" spans="1:8" x14ac:dyDescent="0.3">
      <c r="A41" s="10" t="s">
        <v>371</v>
      </c>
      <c r="B41" s="256">
        <f>Dashboard_Monitoring!C43</f>
        <v>0.9</v>
      </c>
      <c r="C41" s="257"/>
      <c r="D41" s="257"/>
      <c r="E41" s="257"/>
      <c r="F41" s="257"/>
      <c r="G41" s="257"/>
      <c r="H41" s="257"/>
    </row>
    <row r="42" spans="1:8" x14ac:dyDescent="0.3">
      <c r="A42" s="10" t="s">
        <v>372</v>
      </c>
      <c r="C42" s="103">
        <f ca="1">D42*E42/1000</f>
        <v>2.2948594201379424</v>
      </c>
      <c r="D42" s="91">
        <f>Molar_Base_Data!D13</f>
        <v>39.99</v>
      </c>
      <c r="E42" s="100">
        <f ca="1">IF(E36=0,E38*2,E36*2)</f>
        <v>57.385831961438917</v>
      </c>
    </row>
    <row r="43" spans="1:8" x14ac:dyDescent="0.3">
      <c r="A43" s="10" t="s">
        <v>493</v>
      </c>
      <c r="C43" s="103">
        <f ca="1">E43*D43/1000</f>
        <v>2.1261450741713115</v>
      </c>
      <c r="D43" s="91">
        <f>'Pre-Desilication_Balance'!D27</f>
        <v>74.099999999999994</v>
      </c>
      <c r="E43" s="100">
        <f ca="1">E38+E39</f>
        <v>28.692915980719459</v>
      </c>
    </row>
    <row r="44" spans="1:8" x14ac:dyDescent="0.3">
      <c r="A44" s="10" t="s">
        <v>373</v>
      </c>
      <c r="C44" s="103">
        <f ca="1">D44*E44/1000</f>
        <v>0</v>
      </c>
      <c r="D44">
        <f>2*(Molar_Base_Data!D8-Molar_Base_Data!D29)+14+2*Molar_Base_Data!D29</f>
        <v>126.16</v>
      </c>
      <c r="E44" s="100">
        <f ca="1">E37*B41</f>
        <v>0</v>
      </c>
    </row>
    <row r="45" spans="1:8" x14ac:dyDescent="0.3">
      <c r="A45" s="10" t="s">
        <v>386</v>
      </c>
      <c r="C45" s="103">
        <f ca="1">E45*D45/1000</f>
        <v>3.2689408626518892</v>
      </c>
      <c r="D45">
        <f>D36</f>
        <v>107.97999999999999</v>
      </c>
      <c r="E45" s="100">
        <f ca="1">E8-E42/2</f>
        <v>30.27357716847462</v>
      </c>
    </row>
    <row r="46" spans="1:8" x14ac:dyDescent="0.3">
      <c r="A46" s="10" t="s">
        <v>365</v>
      </c>
      <c r="C46" s="103">
        <f ca="1">D46*E46/1000</f>
        <v>2.1261450741713115</v>
      </c>
      <c r="D46" s="38">
        <f>56.08+18.02</f>
        <v>74.099999999999994</v>
      </c>
      <c r="E46" s="100">
        <f ca="1">IF(E36=0,E38,(E38+E39)-E37)</f>
        <v>28.692915980719459</v>
      </c>
      <c r="F46">
        <f ca="1">(E38+E39)-E37</f>
        <v>28.692915980719459</v>
      </c>
    </row>
    <row r="47" spans="1:8" x14ac:dyDescent="0.3">
      <c r="A47" s="21" t="s">
        <v>387</v>
      </c>
      <c r="C47" s="105">
        <f ca="1">(E21+E42)/(E21+E42+E45)</f>
        <v>0.9736856640824203</v>
      </c>
      <c r="D47" s="59" t="str">
        <f ca="1">IF(C47&lt;Dashboard_Monitoring!C44,"✘ High Na2CO3","SUFFICIENT")</f>
        <v>SUFFICIENT</v>
      </c>
      <c r="E47" s="103"/>
    </row>
    <row r="49" spans="1:8" x14ac:dyDescent="0.3">
      <c r="A49" s="220" t="s">
        <v>381</v>
      </c>
      <c r="B49" s="177"/>
      <c r="C49" s="177"/>
      <c r="D49" s="177"/>
      <c r="E49" s="177"/>
      <c r="F49" s="177"/>
      <c r="G49" s="177"/>
      <c r="H49" s="178"/>
    </row>
    <row r="50" spans="1:8" x14ac:dyDescent="0.3">
      <c r="A50" s="10" t="s">
        <v>437</v>
      </c>
      <c r="C50" s="59">
        <f ca="1">C21+C42</f>
        <v>44.796234181576743</v>
      </c>
      <c r="D50">
        <v>39.99</v>
      </c>
      <c r="E50">
        <f ca="1">C50/D50*1000</f>
        <v>1120.1859010146723</v>
      </c>
    </row>
    <row r="51" spans="1:8" ht="39.6" x14ac:dyDescent="0.3">
      <c r="A51" s="10" t="s">
        <v>438</v>
      </c>
      <c r="B51" s="59">
        <f>Dashboard_Monitoring!C32</f>
        <v>141.44039916992188</v>
      </c>
      <c r="C51" s="103"/>
      <c r="D51" s="91"/>
    </row>
    <row r="52" spans="1:8" ht="26.4" x14ac:dyDescent="0.3">
      <c r="A52" s="118" t="s">
        <v>439</v>
      </c>
      <c r="B52" s="59"/>
      <c r="C52" s="59">
        <f>'Pre-Desilication_Balance'!C18*Dashboard_Monitoring!C32/1000-'Pre-Desilication_Balance'!C44</f>
        <v>50.466211588391722</v>
      </c>
      <c r="D52" s="91"/>
    </row>
    <row r="53" spans="1:8" x14ac:dyDescent="0.3">
      <c r="A53" t="s">
        <v>381</v>
      </c>
      <c r="C53" s="103">
        <f ca="1">C52-C50</f>
        <v>5.6699774068149793</v>
      </c>
      <c r="D53" s="91">
        <f>D21</f>
        <v>39.99</v>
      </c>
      <c r="E53">
        <f ca="1">C53/D53*1000</f>
        <v>141.78488139072215</v>
      </c>
    </row>
    <row r="54" spans="1:8" x14ac:dyDescent="0.3">
      <c r="C54" s="100"/>
    </row>
    <row r="55" spans="1:8" x14ac:dyDescent="0.3">
      <c r="A55" s="220" t="s">
        <v>393</v>
      </c>
      <c r="B55" s="177"/>
      <c r="C55" s="177"/>
      <c r="D55" s="177"/>
      <c r="E55" s="177"/>
      <c r="F55" s="177"/>
      <c r="G55" s="177"/>
      <c r="H55" s="178"/>
    </row>
    <row r="56" spans="1:8" x14ac:dyDescent="0.3">
      <c r="A56" s="113" t="s">
        <v>394</v>
      </c>
      <c r="B56" s="59">
        <f>Dashboard_Monitoring!C37</f>
        <v>0.98</v>
      </c>
      <c r="C56" s="103">
        <f ca="1">C26-C26*C27</f>
        <v>330</v>
      </c>
      <c r="D56" s="91"/>
    </row>
    <row r="57" spans="1:8" x14ac:dyDescent="0.3">
      <c r="A57" s="71" t="s">
        <v>414</v>
      </c>
      <c r="C57" s="103">
        <f ca="1">C50+C53</f>
        <v>50.466211588391722</v>
      </c>
    </row>
    <row r="58" spans="1:8" x14ac:dyDescent="0.3">
      <c r="A58" s="71" t="s">
        <v>415</v>
      </c>
      <c r="C58" s="103">
        <f ca="1">C57/C56*1000</f>
        <v>152.92791390421735</v>
      </c>
    </row>
    <row r="59" spans="1:8" x14ac:dyDescent="0.3">
      <c r="A59" s="10" t="s">
        <v>386</v>
      </c>
      <c r="C59" s="103">
        <f ca="1">C45</f>
        <v>3.2689408626518892</v>
      </c>
      <c r="D59">
        <v>107.97999999999999</v>
      </c>
      <c r="E59" s="100">
        <f ca="1">C59/D59*1000</f>
        <v>30.27357716847462</v>
      </c>
    </row>
    <row r="60" spans="1:8" x14ac:dyDescent="0.3">
      <c r="A60" s="71" t="s">
        <v>395</v>
      </c>
      <c r="C60" s="59">
        <f ca="1">C15+C5</f>
        <v>28.217804900189773</v>
      </c>
      <c r="D60" s="34">
        <v>81.97</v>
      </c>
      <c r="E60">
        <f ca="1">C60/D60*1000</f>
        <v>344.24551543479043</v>
      </c>
    </row>
    <row r="61" spans="1:8" x14ac:dyDescent="0.3">
      <c r="A61" s="6" t="s">
        <v>416</v>
      </c>
      <c r="C61" s="59">
        <f ca="1">C46</f>
        <v>2.1261450741713115</v>
      </c>
    </row>
    <row r="62" spans="1:8" x14ac:dyDescent="0.3">
      <c r="A62" s="71"/>
      <c r="D62" t="s">
        <v>496</v>
      </c>
      <c r="E62">
        <f ca="1">Clarification_RedMud!G49+Clarification_RedMud!G50</f>
        <v>6.1244119308691252</v>
      </c>
    </row>
    <row r="63" spans="1:8" x14ac:dyDescent="0.3">
      <c r="A63" s="71"/>
      <c r="D63" t="s">
        <v>497</v>
      </c>
      <c r="E63" s="59">
        <f ca="1">+Precipitation_Hydrate!E15</f>
        <v>1093.384330459829</v>
      </c>
    </row>
    <row r="64" spans="1:8" x14ac:dyDescent="0.3">
      <c r="A64" s="71"/>
      <c r="E64" s="59">
        <f ca="1">E59+E60+E62+E63</f>
        <v>1474.0278349939631</v>
      </c>
    </row>
    <row r="65" spans="1:1" x14ac:dyDescent="0.3">
      <c r="A65" s="71"/>
    </row>
    <row r="66" spans="1:1" x14ac:dyDescent="0.3">
      <c r="A66" s="71"/>
    </row>
    <row r="67" spans="1:1" x14ac:dyDescent="0.3">
      <c r="A67" s="71"/>
    </row>
    <row r="68" spans="1:1" x14ac:dyDescent="0.3">
      <c r="A68" s="71"/>
    </row>
  </sheetData>
  <mergeCells count="11">
    <mergeCell ref="A49:H49"/>
    <mergeCell ref="A55:H55"/>
    <mergeCell ref="A23:H23"/>
    <mergeCell ref="A29:H29"/>
    <mergeCell ref="A1:H1"/>
    <mergeCell ref="A2:H2"/>
    <mergeCell ref="A4:H4"/>
    <mergeCell ref="A13:H13"/>
    <mergeCell ref="A35:H35"/>
    <mergeCell ref="A20:H20"/>
    <mergeCell ref="B41:H4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Dashboard_Monitoring</vt:lpstr>
      <vt:lpstr>PROCESS KINETICS </vt:lpstr>
      <vt:lpstr>Molar_Base_Data</vt:lpstr>
      <vt:lpstr>Pre-Desilication_Balance</vt:lpstr>
      <vt:lpstr>Digestion_Balance</vt:lpstr>
      <vt:lpstr>Clarification_RedMud</vt:lpstr>
      <vt:lpstr>Precipitation_Hydrate</vt:lpstr>
      <vt:lpstr>SPENT LIQUOR CONDITIONING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Wisnu Adhyaksa</cp:lastModifiedBy>
  <dcterms:created xsi:type="dcterms:W3CDTF">2026-06-26T11:54:39Z</dcterms:created>
  <dcterms:modified xsi:type="dcterms:W3CDTF">2026-07-12T02:46:43Z</dcterms:modified>
</cp:coreProperties>
</file>